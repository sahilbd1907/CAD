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CH SUPPORT\CUST\Pune Instrumentation Pvt. Ltd\datta survase\2025\DEC\30.12.25\"/>
    </mc:Choice>
  </mc:AlternateContent>
  <xr:revisionPtr revIDLastSave="0" documentId="13_ncr:1_{62E67247-F806-45C4-BD1F-D63E342B5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ation" sheetId="23" r:id="rId1"/>
    <sheet name="Costing break up" sheetId="20" r:id="rId2"/>
    <sheet name="Standard Rate - Quotation" sheetId="25" r:id="rId3"/>
  </sheets>
  <definedNames>
    <definedName name="_xlnm._FilterDatabase" localSheetId="1" hidden="1">'Costing break up'!$A$1:$P$8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0" l="1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G3" i="20"/>
  <c r="G2" i="20"/>
  <c r="X3" i="20"/>
  <c r="W3" i="20"/>
  <c r="W4" i="20"/>
  <c r="X4" i="20" s="1"/>
  <c r="W5" i="20"/>
  <c r="X5" i="20" s="1"/>
  <c r="W2" i="20"/>
  <c r="X2" i="20" s="1"/>
  <c r="P2" i="20" l="1"/>
  <c r="I2" i="20"/>
  <c r="T2" i="20"/>
  <c r="F15" i="23"/>
  <c r="D15" i="23"/>
  <c r="C15" i="23"/>
  <c r="B15" i="23"/>
  <c r="A15" i="23"/>
  <c r="F14" i="23"/>
  <c r="D14" i="23"/>
  <c r="C14" i="23"/>
  <c r="B14" i="23"/>
  <c r="A14" i="23"/>
  <c r="F13" i="23"/>
  <c r="C13" i="23"/>
  <c r="B13" i="23"/>
  <c r="A13" i="23"/>
  <c r="J2" i="20" l="1"/>
  <c r="K2" i="20" s="1"/>
  <c r="L2" i="20" s="1"/>
  <c r="M2" i="20" s="1"/>
  <c r="O2" i="20" s="1"/>
  <c r="G3" i="25"/>
  <c r="AD15" i="20" l="1"/>
  <c r="AC15" i="20"/>
  <c r="AE10" i="20"/>
  <c r="AF10" i="20" s="1"/>
  <c r="AG10" i="20" s="1"/>
  <c r="AF6" i="20"/>
  <c r="G3" i="23"/>
  <c r="E12" i="25"/>
  <c r="F13" i="25"/>
  <c r="C13" i="25"/>
  <c r="B13" i="25"/>
  <c r="A13" i="25"/>
  <c r="C12" i="25"/>
  <c r="B12" i="25"/>
  <c r="A12" i="25"/>
  <c r="AF15" i="20" l="1"/>
  <c r="J6" i="20" l="1"/>
  <c r="J7" i="20"/>
  <c r="J8" i="20"/>
  <c r="D13" i="23"/>
  <c r="T16" i="20"/>
  <c r="T17" i="20"/>
  <c r="T18" i="20"/>
  <c r="T19" i="20"/>
  <c r="T20" i="20"/>
  <c r="T21" i="20"/>
  <c r="T22" i="20"/>
  <c r="T23" i="20"/>
  <c r="T24" i="20"/>
  <c r="T25" i="20"/>
  <c r="T26" i="20"/>
  <c r="T27" i="20"/>
  <c r="A12" i="23"/>
  <c r="T5" i="20"/>
  <c r="T4" i="20"/>
  <c r="T3" i="20"/>
  <c r="T15" i="20"/>
  <c r="T14" i="20"/>
  <c r="T13" i="20"/>
  <c r="T12" i="20"/>
  <c r="T11" i="20"/>
  <c r="T10" i="20"/>
  <c r="T9" i="20"/>
  <c r="D12" i="23" l="1"/>
  <c r="D12" i="25"/>
  <c r="D13" i="25"/>
  <c r="P24" i="20"/>
  <c r="J24" i="20"/>
  <c r="P20" i="20"/>
  <c r="J20" i="20"/>
  <c r="P16" i="20"/>
  <c r="J16" i="20"/>
  <c r="P27" i="20"/>
  <c r="J27" i="20"/>
  <c r="P23" i="20"/>
  <c r="J23" i="20"/>
  <c r="P19" i="20"/>
  <c r="J19" i="20"/>
  <c r="P15" i="20"/>
  <c r="J15" i="20"/>
  <c r="P3" i="20"/>
  <c r="J3" i="20"/>
  <c r="J26" i="20"/>
  <c r="P22" i="20"/>
  <c r="J22" i="20"/>
  <c r="J18" i="20"/>
  <c r="P14" i="20"/>
  <c r="J14" i="20"/>
  <c r="P10" i="20"/>
  <c r="J10" i="20"/>
  <c r="J12" i="20"/>
  <c r="P11" i="20"/>
  <c r="J11" i="20"/>
  <c r="P4" i="20"/>
  <c r="J4" i="20"/>
  <c r="J25" i="20"/>
  <c r="J21" i="20"/>
  <c r="P17" i="20"/>
  <c r="J17" i="20"/>
  <c r="J13" i="20"/>
  <c r="P9" i="20"/>
  <c r="J9" i="20"/>
  <c r="P5" i="20"/>
  <c r="J5" i="20"/>
  <c r="R3" i="20"/>
  <c r="P12" i="20"/>
  <c r="P13" i="20"/>
  <c r="P26" i="20"/>
  <c r="P18" i="20"/>
  <c r="P25" i="20"/>
  <c r="P21" i="20"/>
  <c r="K12" i="20" l="1"/>
  <c r="K9" i="20"/>
  <c r="K11" i="20"/>
  <c r="K14" i="20"/>
  <c r="L14" i="20" s="1"/>
  <c r="K13" i="20"/>
  <c r="P8" i="20"/>
  <c r="L11" i="20" l="1"/>
  <c r="M11" i="20" s="1"/>
  <c r="L9" i="20"/>
  <c r="M9" i="20" s="1"/>
  <c r="L13" i="20"/>
  <c r="M13" i="20" s="1"/>
  <c r="L12" i="20"/>
  <c r="M12" i="20" s="1"/>
  <c r="M14" i="20"/>
  <c r="K23" i="20"/>
  <c r="L23" i="20" s="1"/>
  <c r="K20" i="20"/>
  <c r="L20" i="20" s="1"/>
  <c r="K3" i="20"/>
  <c r="L3" i="20" s="1"/>
  <c r="K10" i="20"/>
  <c r="L10" i="20" s="1"/>
  <c r="K27" i="20"/>
  <c r="K19" i="20"/>
  <c r="K16" i="20"/>
  <c r="L16" i="20" s="1"/>
  <c r="K15" i="20"/>
  <c r="L15" i="20" s="1"/>
  <c r="K26" i="20"/>
  <c r="K25" i="20"/>
  <c r="L25" i="20" s="1"/>
  <c r="K4" i="20"/>
  <c r="L4" i="20" s="1"/>
  <c r="K5" i="20"/>
  <c r="L5" i="20" s="1"/>
  <c r="K22" i="20"/>
  <c r="K24" i="20"/>
  <c r="L24" i="20" s="1"/>
  <c r="P6" i="20"/>
  <c r="P7" i="20"/>
  <c r="T6" i="20"/>
  <c r="T7" i="20"/>
  <c r="T8" i="20"/>
  <c r="O9" i="20" l="1"/>
  <c r="O12" i="20"/>
  <c r="O13" i="20"/>
  <c r="O11" i="20"/>
  <c r="M4" i="20"/>
  <c r="L19" i="20"/>
  <c r="M19" i="20" s="1"/>
  <c r="L22" i="20"/>
  <c r="M22" i="20" s="1"/>
  <c r="L26" i="20"/>
  <c r="M26" i="20" s="1"/>
  <c r="L27" i="20"/>
  <c r="M27" i="20" s="1"/>
  <c r="O14" i="20"/>
  <c r="M23" i="20"/>
  <c r="M5" i="20"/>
  <c r="M10" i="20"/>
  <c r="M24" i="20"/>
  <c r="M25" i="20"/>
  <c r="M20" i="20"/>
  <c r="M15" i="20"/>
  <c r="M16" i="20"/>
  <c r="M3" i="20"/>
  <c r="E13" i="23" s="1"/>
  <c r="K17" i="20"/>
  <c r="K18" i="20"/>
  <c r="K21" i="20"/>
  <c r="O23" i="20" l="1"/>
  <c r="E15" i="23"/>
  <c r="O10" i="20"/>
  <c r="O4" i="20"/>
  <c r="E14" i="23"/>
  <c r="O3" i="20"/>
  <c r="O19" i="20"/>
  <c r="O26" i="20"/>
  <c r="O22" i="20"/>
  <c r="O27" i="20"/>
  <c r="L21" i="20"/>
  <c r="M21" i="20" s="1"/>
  <c r="L17" i="20"/>
  <c r="M17" i="20" s="1"/>
  <c r="L18" i="20"/>
  <c r="M18" i="20" s="1"/>
  <c r="O15" i="20"/>
  <c r="O25" i="20"/>
  <c r="O16" i="20"/>
  <c r="O24" i="20"/>
  <c r="O5" i="20"/>
  <c r="O20" i="20"/>
  <c r="G15" i="23" l="1"/>
  <c r="G14" i="23"/>
  <c r="G13" i="23"/>
  <c r="O18" i="20"/>
  <c r="O17" i="20"/>
  <c r="O21" i="20"/>
  <c r="K7" i="20" l="1"/>
  <c r="L7" i="20" s="1"/>
  <c r="K8" i="20"/>
  <c r="L8" i="20" s="1"/>
  <c r="M8" i="20" l="1"/>
  <c r="M7" i="20"/>
  <c r="K6" i="20" l="1"/>
  <c r="L6" i="20" s="1"/>
  <c r="O7" i="20"/>
  <c r="O8" i="20"/>
  <c r="M6" i="20" l="1"/>
  <c r="F12" i="23"/>
  <c r="O6" i="20" l="1"/>
  <c r="G14" i="25" l="1"/>
  <c r="O28" i="20"/>
  <c r="B12" i="23" l="1"/>
  <c r="C12" i="23"/>
  <c r="E12" i="23" l="1"/>
  <c r="G12" i="23" l="1"/>
  <c r="G16" i="23" s="1"/>
</calcChain>
</file>

<file path=xl/sharedStrings.xml><?xml version="1.0" encoding="utf-8"?>
<sst xmlns="http://schemas.openxmlformats.org/spreadsheetml/2006/main" count="189" uniqueCount="141">
  <si>
    <t>S Total</t>
  </si>
  <si>
    <t xml:space="preserve">Thick </t>
  </si>
  <si>
    <t>Qty.</t>
  </si>
  <si>
    <t>No of Piercing</t>
  </si>
  <si>
    <t>Piercing Cost</t>
  </si>
  <si>
    <t>Process</t>
  </si>
  <si>
    <t xml:space="preserve">Part Description </t>
  </si>
  <si>
    <t>Cost Per PC with RM</t>
  </si>
  <si>
    <t>Grand Total</t>
  </si>
  <si>
    <t>Sr</t>
  </si>
  <si>
    <t>Drawing No</t>
  </si>
  <si>
    <t>Material MOC</t>
  </si>
  <si>
    <t>Perimeter ( MM)</t>
  </si>
  <si>
    <t>QUOTATION</t>
  </si>
  <si>
    <t>Company Details</t>
  </si>
  <si>
    <t>Quotation No.</t>
  </si>
  <si>
    <t>Date:</t>
  </si>
  <si>
    <t>Customer Name</t>
  </si>
  <si>
    <t>Email</t>
  </si>
  <si>
    <t>Total in words</t>
  </si>
  <si>
    <t>Terms and Conditions</t>
  </si>
  <si>
    <t>3) The transport charges would be to client scope and we are not responsible for any logistics management.</t>
  </si>
  <si>
    <t>4) Proper drawing has to be provided by the client and dwg / dxf format is acceptable.</t>
  </si>
  <si>
    <t>6) Job Work will be done only after receiving your material, final drawings, approval of samples.</t>
  </si>
  <si>
    <t xml:space="preserve">7) The damage on account of transport after the material has left our facility would be in client scope. </t>
  </si>
  <si>
    <t>9) Raw material will be supplied as FIM for Labour work</t>
  </si>
  <si>
    <t>11) Collect scrap within 2 days after cutting process, after that we are not responsible.</t>
  </si>
  <si>
    <t>Accepted by:
Supplier : Name &amp; Signature</t>
  </si>
  <si>
    <t>Drawing No.</t>
  </si>
  <si>
    <t>Part Description</t>
  </si>
  <si>
    <t>Processes</t>
  </si>
  <si>
    <t>Sr. No.</t>
  </si>
  <si>
    <t>Cost</t>
  </si>
  <si>
    <t>Rate</t>
  </si>
  <si>
    <t>Name</t>
  </si>
  <si>
    <t>Mob. No.</t>
  </si>
  <si>
    <t>1</t>
  </si>
  <si>
    <t>2</t>
  </si>
  <si>
    <t>3</t>
  </si>
  <si>
    <t>4</t>
  </si>
  <si>
    <t>Address</t>
  </si>
  <si>
    <t>Qty/Set</t>
  </si>
  <si>
    <t>Packing &amp; Fwd</t>
  </si>
  <si>
    <t>Total</t>
  </si>
  <si>
    <t>5</t>
  </si>
  <si>
    <t>6</t>
  </si>
  <si>
    <t>7</t>
  </si>
  <si>
    <t>Hold</t>
  </si>
  <si>
    <t>Customer cost</t>
  </si>
  <si>
    <t>total</t>
  </si>
  <si>
    <t>As per actual Set Qty.</t>
  </si>
  <si>
    <t>Contact: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</si>
  <si>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</si>
  <si>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</si>
  <si>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</si>
  <si>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</si>
  <si>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</si>
  <si>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</si>
  <si>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</si>
  <si>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</si>
  <si>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</si>
  <si>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</si>
  <si>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</si>
  <si>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</si>
  <si>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</si>
  <si>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</si>
  <si>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</si>
  <si>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</si>
  <si>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</si>
  <si>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</si>
  <si>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</si>
  <si>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TECH SUPPORT I &amp; E</t>
  </si>
  <si>
    <t>Email : techscnc@gmail.com</t>
  </si>
  <si>
    <t>Pan No.</t>
  </si>
  <si>
    <t>GST No.</t>
  </si>
  <si>
    <t>1) Terms of Payment: 40% against advance with material &amp; Against delivery for labour charges</t>
  </si>
  <si>
    <t>J-72/73- MIDC, Bhosari, Pune</t>
  </si>
  <si>
    <t>10) The above prices are valid till 7 days from date of Quotation</t>
  </si>
  <si>
    <t xml:space="preserve">Speed Calculation </t>
  </si>
  <si>
    <t>Thickness</t>
  </si>
  <si>
    <t xml:space="preserve">Speed </t>
  </si>
  <si>
    <t>SPEED</t>
  </si>
  <si>
    <t xml:space="preserve">Affordability Calculation </t>
  </si>
  <si>
    <t>Perimeter</t>
  </si>
  <si>
    <t xml:space="preserve">Minutes </t>
  </si>
  <si>
    <t>Hour/s</t>
  </si>
  <si>
    <t>Affordability rate</t>
  </si>
  <si>
    <t>Labor charge by Per meter rate</t>
  </si>
  <si>
    <t xml:space="preserve">Sr. no </t>
  </si>
  <si>
    <t xml:space="preserve">Perimeter </t>
  </si>
  <si>
    <t xml:space="preserve">Thickness </t>
  </si>
  <si>
    <t xml:space="preserve">per meter rate </t>
  </si>
  <si>
    <t xml:space="preserve">total (Rate) </t>
  </si>
  <si>
    <t xml:space="preserve">Rate - Waterjet cutting </t>
  </si>
  <si>
    <t xml:space="preserve">Metals </t>
  </si>
  <si>
    <t xml:space="preserve">Rate </t>
  </si>
  <si>
    <t xml:space="preserve">Non-Metals </t>
  </si>
  <si>
    <t xml:space="preserve">MS </t>
  </si>
  <si>
    <t xml:space="preserve">40 + </t>
  </si>
  <si>
    <t xml:space="preserve">Rubber </t>
  </si>
  <si>
    <t xml:space="preserve">20-25 + </t>
  </si>
  <si>
    <t>SS</t>
  </si>
  <si>
    <t xml:space="preserve">Glass </t>
  </si>
  <si>
    <t xml:space="preserve">Aluminium </t>
  </si>
  <si>
    <t xml:space="preserve">Acrylic </t>
  </si>
  <si>
    <t xml:space="preserve">Titanium </t>
  </si>
  <si>
    <t xml:space="preserve">PU </t>
  </si>
  <si>
    <t xml:space="preserve">Lead </t>
  </si>
  <si>
    <t xml:space="preserve">PP </t>
  </si>
  <si>
    <t xml:space="preserve">Copper </t>
  </si>
  <si>
    <t xml:space="preserve">Plastic </t>
  </si>
  <si>
    <t xml:space="preserve">Cost Effectivity </t>
  </si>
  <si>
    <t>2) The above prices are exclusive of GST Tax  as per HSN CODE  and other duties as applicable.</t>
  </si>
  <si>
    <t>5) Waterjet/Laser cutting only will be done as per customer drawings and no secondary operation will be undertaken.</t>
  </si>
  <si>
    <t>8) The cutting services will be provided according to the DXF/DWG files, in case of rejection against revisions- TS will not be responsible for loss of material.</t>
  </si>
  <si>
    <t>For TECH SUPPORT
Payal Dhanade 
+919879914828</t>
  </si>
  <si>
    <t>For TECH SUPPORT
Payal Dhanade
+91 9879914828</t>
  </si>
  <si>
    <t>77090 09727</t>
  </si>
  <si>
    <t>SuRe Lines</t>
  </si>
  <si>
    <t>TS/2025-26/531</t>
  </si>
  <si>
    <t>MADHUSUDAN KHILAR</t>
  </si>
  <si>
    <t>Factory address J-405 Near Quality Circle</t>
  </si>
  <si>
    <t xml:space="preserve">
engineering@surelines.in</t>
  </si>
  <si>
    <t>Copper</t>
  </si>
  <si>
    <t xml:space="preserve">Side Plate </t>
  </si>
  <si>
    <t>Bottom Support Plate</t>
  </si>
  <si>
    <t>Stiffner - II</t>
  </si>
  <si>
    <t xml:space="preserve">Stiffner </t>
  </si>
  <si>
    <t>Time in Min</t>
  </si>
  <si>
    <t>Speed (mm per Min</t>
  </si>
  <si>
    <t>Cost per Time</t>
  </si>
  <si>
    <t>WaterJet cutting cost</t>
  </si>
  <si>
    <t>260 X 159 X 18</t>
  </si>
  <si>
    <t>265 X 160 X 22</t>
  </si>
  <si>
    <t>115 X 55 X 22</t>
  </si>
  <si>
    <t>147 X 50 X 22</t>
  </si>
  <si>
    <t>TS/2025-26/565</t>
  </si>
  <si>
    <t>Pune Instrumentation Pvt. Ltd.</t>
  </si>
  <si>
    <t>MIDC, Bhosari, Pune</t>
  </si>
  <si>
    <t>Datta Survase</t>
  </si>
  <si>
    <t>datta.survase@pipl-tech.com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</si>
</sst>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Calibri"/>
      <family val="2"/>
    </font>
    <font>
      <sz val="10"/>
      <name val="Calibri"/>
      <family val="2"/>
    </font>
    <font>
      <b/>
      <sz val="11"/>
      <color indexed="63"/>
      <name val="Calibri"/>
      <family val="2"/>
    </font>
    <font>
      <sz val="10"/>
      <color indexed="12"/>
      <name val="Arial"/>
      <family val="2"/>
    </font>
    <font>
      <sz val="9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8"/>
      <name val="Calibri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sz val="22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top" wrapText="1"/>
    </xf>
    <xf numFmtId="0" fontId="0" fillId="3" borderId="0" xfId="0" applyFill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1" xfId="2" applyBorder="1" applyAlignment="1" applyProtection="1">
      <alignment horizontal="center" vertical="center"/>
    </xf>
    <xf numFmtId="0" fontId="15" fillId="0" borderId="1" xfId="2" applyFont="1" applyBorder="1" applyAlignment="1" applyProtection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0" fillId="0" borderId="5" xfId="0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1" fontId="18" fillId="0" borderId="23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2" fillId="7" borderId="23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2" fillId="7" borderId="30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2" fillId="7" borderId="26" xfId="0" applyFont="1" applyFill="1" applyBorder="1" applyAlignment="1">
      <alignment vertical="center"/>
    </xf>
    <xf numFmtId="0" fontId="20" fillId="5" borderId="14" xfId="0" applyFont="1" applyFill="1" applyBorder="1" applyAlignment="1">
      <alignment vertical="center"/>
    </xf>
    <xf numFmtId="0" fontId="20" fillId="5" borderId="16" xfId="0" applyFont="1" applyFill="1" applyBorder="1" applyAlignment="1">
      <alignment vertical="center"/>
    </xf>
    <xf numFmtId="0" fontId="1" fillId="0" borderId="31" xfId="0" applyFont="1" applyBorder="1"/>
    <xf numFmtId="0" fontId="0" fillId="0" borderId="32" xfId="0" applyBorder="1"/>
    <xf numFmtId="1" fontId="18" fillId="0" borderId="13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0" fillId="4" borderId="33" xfId="0" applyFont="1" applyFill="1" applyBorder="1" applyAlignment="1">
      <alignment horizontal="center" vertical="center"/>
    </xf>
    <xf numFmtId="0" fontId="20" fillId="4" borderId="34" xfId="0" applyFont="1" applyFill="1" applyBorder="1" applyAlignment="1">
      <alignment horizontal="center" vertical="center"/>
    </xf>
    <xf numFmtId="0" fontId="20" fillId="4" borderId="35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5" fillId="0" borderId="1" xfId="2" applyBorder="1" applyAlignment="1" applyProtection="1">
      <alignment horizontal="center" vertical="center"/>
    </xf>
    <xf numFmtId="0" fontId="9" fillId="0" borderId="1" xfId="2" applyFont="1" applyBorder="1" applyAlignment="1" applyProtection="1">
      <alignment horizontal="center" vertical="center"/>
    </xf>
    <xf numFmtId="0" fontId="6" fillId="0" borderId="1" xfId="2" applyFont="1" applyBorder="1" applyAlignment="1" applyProtection="1">
      <alignment horizontal="left"/>
    </xf>
    <xf numFmtId="0" fontId="5" fillId="0" borderId="1" xfId="2" applyBorder="1" applyAlignment="1" applyProtection="1">
      <alignment horizontal="left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" fontId="12" fillId="0" borderId="3" xfId="0" applyNumberFormat="1" applyFont="1" applyBorder="1" applyAlignment="1">
      <alignment horizontal="left" vertical="center" wrapText="1"/>
    </xf>
    <xf numFmtId="16" fontId="12" fillId="0" borderId="4" xfId="0" applyNumberFormat="1" applyFont="1" applyBorder="1" applyAlignment="1">
      <alignment horizontal="left" vertical="center" wrapText="1"/>
    </xf>
    <xf numFmtId="16" fontId="12" fillId="0" borderId="2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164" fontId="3" fillId="0" borderId="12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8" fillId="4" borderId="21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20" xfId="0" applyFont="1" applyFill="1" applyBorder="1" applyAlignment="1">
      <alignment horizontal="center"/>
    </xf>
    <xf numFmtId="0" fontId="19" fillId="8" borderId="21" xfId="0" applyFont="1" applyFill="1" applyBorder="1" applyAlignment="1">
      <alignment horizontal="center"/>
    </xf>
    <xf numFmtId="0" fontId="18" fillId="4" borderId="31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8" fillId="4" borderId="32" xfId="0" applyFont="1" applyFill="1" applyBorder="1" applyAlignment="1">
      <alignment horizontal="center"/>
    </xf>
    <xf numFmtId="0" fontId="5" fillId="0" borderId="1" xfId="2" applyBorder="1" applyAlignment="1" applyProtection="1">
      <alignment horizontal="center" vertical="center" wrapText="1"/>
    </xf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tta.survase@pipl-tech.com" TargetMode="External"/><Relationship Id="rId1" Type="http://schemas.openxmlformats.org/officeDocument/2006/relationships/hyperlink" Target="mailto:saleswest@sasaengineering.com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leswest@sasaengineer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tabSelected="1" view="pageLayout" zoomScale="74" zoomScalePageLayoutView="74" workbookViewId="0">
      <selection activeCell="F8" sqref="F8:G8"/>
    </sheetView>
  </sheetViews>
  <sheetFormatPr defaultRowHeight="14.4" x14ac:dyDescent="0.3"/>
  <cols>
    <col min="2" max="2" width="12" customWidth="1"/>
    <col min="3" max="3" width="10.6640625" bestFit="1" customWidth="1"/>
    <col min="4" max="4" width="19.6640625" customWidth="1"/>
    <col min="5" max="5" width="7.6640625" customWidth="1"/>
    <col min="6" max="6" width="6.6640625" customWidth="1"/>
    <col min="7" max="7" width="19.44140625" customWidth="1"/>
    <col min="8" max="9" width="8.88671875" customWidth="1"/>
  </cols>
  <sheetData>
    <row r="1" spans="1:11" ht="23.4" customHeight="1" x14ac:dyDescent="0.3">
      <c r="A1" s="77" t="s">
        <v>13</v>
      </c>
      <c r="B1" s="77"/>
      <c r="C1" s="77"/>
      <c r="D1" s="77"/>
      <c r="E1" s="77"/>
      <c r="F1" s="77"/>
      <c r="G1" s="77"/>
    </row>
    <row r="2" spans="1:11" ht="16.95" customHeight="1" x14ac:dyDescent="0.3">
      <c r="A2" s="78" t="s">
        <v>14</v>
      </c>
      <c r="B2" s="78"/>
      <c r="C2" s="78"/>
      <c r="D2" s="78"/>
      <c r="E2" s="97" t="s">
        <v>15</v>
      </c>
      <c r="F2" s="98"/>
      <c r="G2" s="14" t="s">
        <v>136</v>
      </c>
    </row>
    <row r="3" spans="1:11" x14ac:dyDescent="0.3">
      <c r="A3" s="79" t="s">
        <v>71</v>
      </c>
      <c r="B3" s="79"/>
      <c r="C3" s="79"/>
      <c r="D3" s="79"/>
      <c r="E3" s="109" t="s">
        <v>16</v>
      </c>
      <c r="F3" s="110"/>
      <c r="G3" s="101">
        <f ca="1">TODAY()</f>
        <v>46021</v>
      </c>
    </row>
    <row r="4" spans="1:11" ht="13.95" customHeight="1" x14ac:dyDescent="0.3">
      <c r="A4" s="103" t="s">
        <v>76</v>
      </c>
      <c r="B4" s="104"/>
      <c r="C4" s="104"/>
      <c r="D4" s="105"/>
      <c r="E4" s="111"/>
      <c r="F4" s="112"/>
      <c r="G4" s="102"/>
    </row>
    <row r="5" spans="1:11" x14ac:dyDescent="0.3">
      <c r="A5" s="106"/>
      <c r="B5" s="107"/>
      <c r="C5" s="107"/>
      <c r="D5" s="108"/>
      <c r="E5" s="97" t="s">
        <v>51</v>
      </c>
      <c r="F5" s="98"/>
      <c r="G5" s="14">
        <v>9879914828</v>
      </c>
    </row>
    <row r="6" spans="1:11" x14ac:dyDescent="0.3">
      <c r="A6" s="82" t="s">
        <v>72</v>
      </c>
      <c r="B6" s="82"/>
      <c r="C6" s="82"/>
      <c r="D6" s="82"/>
      <c r="E6" s="97" t="s">
        <v>73</v>
      </c>
      <c r="F6" s="98"/>
      <c r="G6" s="14"/>
    </row>
    <row r="7" spans="1:11" x14ac:dyDescent="0.3">
      <c r="A7" s="83"/>
      <c r="B7" s="82"/>
      <c r="C7" s="82"/>
      <c r="D7" s="82"/>
      <c r="E7" s="97" t="s">
        <v>74</v>
      </c>
      <c r="F7" s="98"/>
      <c r="G7" s="14"/>
    </row>
    <row r="8" spans="1:11" ht="27.6" x14ac:dyDescent="0.3">
      <c r="A8" s="11" t="s">
        <v>17</v>
      </c>
      <c r="B8" s="84" t="s">
        <v>137</v>
      </c>
      <c r="C8" s="84"/>
      <c r="D8" s="84"/>
      <c r="E8" s="12" t="s">
        <v>18</v>
      </c>
      <c r="F8" s="80" t="s">
        <v>140</v>
      </c>
      <c r="G8" s="81"/>
    </row>
    <row r="9" spans="1:11" ht="31.95" customHeight="1" x14ac:dyDescent="0.3">
      <c r="A9" s="11" t="s">
        <v>40</v>
      </c>
      <c r="B9" s="88" t="s">
        <v>138</v>
      </c>
      <c r="C9" s="89"/>
      <c r="D9" s="90"/>
      <c r="E9" s="97"/>
      <c r="F9" s="98"/>
      <c r="G9" s="23"/>
    </row>
    <row r="10" spans="1:11" x14ac:dyDescent="0.3">
      <c r="A10" s="11" t="s">
        <v>34</v>
      </c>
      <c r="B10" s="88" t="s">
        <v>139</v>
      </c>
      <c r="C10" s="89"/>
      <c r="D10" s="90"/>
      <c r="E10" s="97" t="s">
        <v>35</v>
      </c>
      <c r="F10" s="98"/>
      <c r="G10" s="24" t="s">
        <v>117</v>
      </c>
      <c r="I10" s="27"/>
      <c r="J10" s="27"/>
      <c r="K10" s="27"/>
    </row>
    <row r="11" spans="1:11" ht="27.6" x14ac:dyDescent="0.3">
      <c r="A11" s="20" t="s">
        <v>31</v>
      </c>
      <c r="B11" s="16" t="s">
        <v>28</v>
      </c>
      <c r="C11" s="11" t="s">
        <v>29</v>
      </c>
      <c r="D11" s="11" t="s">
        <v>30</v>
      </c>
      <c r="E11" s="20" t="s">
        <v>33</v>
      </c>
      <c r="F11" s="19" t="s">
        <v>41</v>
      </c>
      <c r="G11" s="15" t="s">
        <v>32</v>
      </c>
      <c r="I11" s="27"/>
      <c r="J11" s="27"/>
      <c r="K11" s="27"/>
    </row>
    <row r="12" spans="1:11" ht="55.2" customHeight="1" x14ac:dyDescent="0.3">
      <c r="A12" s="17" t="str">
        <f>'Costing break up'!A2</f>
        <v>1</v>
      </c>
      <c r="B12" s="25" t="str">
        <f>'Costing break up'!B2</f>
        <v xml:space="preserve">Side Plate </v>
      </c>
      <c r="C12" s="11" t="str">
        <f>'Costing break up'!C2</f>
        <v>260 X 159 X 18</v>
      </c>
      <c r="D12" s="26" t="str">
        <f>IF('Costing break up'!G2&gt;0,"CNC Waterjet Cutting, ","")</f>
        <v xml:space="preserve">CNC Waterjet Cutting, </v>
      </c>
      <c r="E12" s="18">
        <f>'Costing break up'!M2</f>
        <v>741.97226000000001</v>
      </c>
      <c r="F12" s="11">
        <f>'Costing break up'!N2</f>
        <v>12</v>
      </c>
      <c r="G12" s="15">
        <f>'Costing break up'!O2</f>
        <v>8903.6671200000001</v>
      </c>
      <c r="I12" s="27"/>
      <c r="J12" s="27"/>
      <c r="K12" s="27"/>
    </row>
    <row r="13" spans="1:11" ht="55.2" customHeight="1" x14ac:dyDescent="0.3">
      <c r="A13" s="17" t="str">
        <f>'Costing break up'!A3</f>
        <v>2</v>
      </c>
      <c r="B13" s="25" t="str">
        <f>'Costing break up'!B3</f>
        <v>Bottom Support Plate</v>
      </c>
      <c r="C13" s="11" t="str">
        <f>'Costing break up'!C3</f>
        <v>265 X 160 X 22</v>
      </c>
      <c r="D13" s="26" t="str">
        <f>IF('Costing break up'!G3&gt;0,"CNC Waterjet Cutting, ","")</f>
        <v xml:space="preserve">CNC Waterjet Cutting, </v>
      </c>
      <c r="E13" s="18">
        <f>'Costing break up'!M3</f>
        <v>1553.0769999999998</v>
      </c>
      <c r="F13" s="11">
        <f>'Costing break up'!N3</f>
        <v>6</v>
      </c>
      <c r="G13" s="15">
        <f>'Costing break up'!O3</f>
        <v>9318.4619999999995</v>
      </c>
      <c r="I13" s="27"/>
      <c r="J13" s="27"/>
      <c r="K13" s="27"/>
    </row>
    <row r="14" spans="1:11" ht="55.2" customHeight="1" x14ac:dyDescent="0.3">
      <c r="A14" s="17" t="str">
        <f>'Costing break up'!A4</f>
        <v>3</v>
      </c>
      <c r="B14" s="25" t="str">
        <f>'Costing break up'!B4</f>
        <v>Stiffner - II</v>
      </c>
      <c r="C14" s="11" t="str">
        <f>'Costing break up'!C4</f>
        <v>115 X 55 X 22</v>
      </c>
      <c r="D14" s="26" t="str">
        <f>IF('Costing break up'!G4&gt;0,"CNC Waterjet Cutting, ","")</f>
        <v xml:space="preserve">CNC Waterjet Cutting, </v>
      </c>
      <c r="E14" s="18">
        <f>'Costing break up'!M4</f>
        <v>431.18919999999997</v>
      </c>
      <c r="F14" s="11">
        <f>'Costing break up'!N4</f>
        <v>10</v>
      </c>
      <c r="G14" s="15">
        <f>'Costing break up'!O4</f>
        <v>4311.8919999999998</v>
      </c>
      <c r="I14" s="27"/>
      <c r="J14" s="27"/>
      <c r="K14" s="27"/>
    </row>
    <row r="15" spans="1:11" ht="55.2" customHeight="1" x14ac:dyDescent="0.3">
      <c r="A15" s="17" t="str">
        <f>'Costing break up'!A5</f>
        <v>4</v>
      </c>
      <c r="B15" s="25" t="str">
        <f>'Costing break up'!B5</f>
        <v xml:space="preserve">Stiffner </v>
      </c>
      <c r="C15" s="11" t="str">
        <f>'Costing break up'!C5</f>
        <v>147 X 50 X 22</v>
      </c>
      <c r="D15" s="26" t="str">
        <f>IF('Costing break up'!G5&gt;0,"CNC Waterjet Cutting, ","")</f>
        <v xml:space="preserve">CNC Waterjet Cutting, </v>
      </c>
      <c r="E15" s="18">
        <f>'Costing break up'!M5</f>
        <v>504.51519999999999</v>
      </c>
      <c r="F15" s="11">
        <f>'Costing break up'!N5</f>
        <v>2</v>
      </c>
      <c r="G15" s="15">
        <f>'Costing break up'!O5</f>
        <v>1009.0304</v>
      </c>
      <c r="I15" s="27"/>
      <c r="J15" s="27"/>
      <c r="K15" s="27"/>
    </row>
    <row r="16" spans="1:11" ht="14.4" customHeight="1" x14ac:dyDescent="0.3">
      <c r="A16" s="99" t="s">
        <v>19</v>
      </c>
      <c r="B16" s="99"/>
      <c r="C16" s="91" t="s">
        <v>50</v>
      </c>
      <c r="D16" s="92"/>
      <c r="E16" s="92"/>
      <c r="F16" s="93"/>
      <c r="G16" s="15">
        <f>SUM(G12:G15)</f>
        <v>23543.051519999997</v>
      </c>
    </row>
    <row r="17" spans="1:7" x14ac:dyDescent="0.3">
      <c r="A17" s="85" t="s">
        <v>20</v>
      </c>
      <c r="B17" s="85"/>
      <c r="C17" s="85"/>
      <c r="D17" s="85"/>
      <c r="E17" s="94"/>
      <c r="F17" s="95"/>
      <c r="G17" s="96"/>
    </row>
    <row r="18" spans="1:7" ht="10.95" customHeight="1" x14ac:dyDescent="0.3">
      <c r="A18" s="86" t="s">
        <v>75</v>
      </c>
      <c r="B18" s="86"/>
      <c r="C18" s="86"/>
      <c r="D18" s="86"/>
      <c r="E18" s="86"/>
      <c r="F18" s="86"/>
      <c r="G18" s="86"/>
    </row>
    <row r="19" spans="1:7" ht="10.95" customHeight="1" x14ac:dyDescent="0.3">
      <c r="A19" s="86" t="s">
        <v>112</v>
      </c>
      <c r="B19" s="86"/>
      <c r="C19" s="86"/>
      <c r="D19" s="86"/>
      <c r="E19" s="86"/>
      <c r="F19" s="86"/>
      <c r="G19" s="86"/>
    </row>
    <row r="20" spans="1:7" ht="10.5" customHeight="1" x14ac:dyDescent="0.3">
      <c r="A20" s="86" t="s">
        <v>21</v>
      </c>
      <c r="B20" s="86"/>
      <c r="C20" s="86"/>
      <c r="D20" s="86"/>
      <c r="E20" s="86"/>
      <c r="F20" s="86"/>
      <c r="G20" s="86"/>
    </row>
    <row r="21" spans="1:7" ht="10.95" customHeight="1" x14ac:dyDescent="0.3">
      <c r="A21" s="86" t="s">
        <v>22</v>
      </c>
      <c r="B21" s="86"/>
      <c r="C21" s="86"/>
      <c r="D21" s="86"/>
      <c r="E21" s="86"/>
      <c r="F21" s="86"/>
      <c r="G21" s="86"/>
    </row>
    <row r="22" spans="1:7" ht="10.95" customHeight="1" x14ac:dyDescent="0.3">
      <c r="A22" s="86" t="s">
        <v>113</v>
      </c>
      <c r="B22" s="86"/>
      <c r="C22" s="86"/>
      <c r="D22" s="86"/>
      <c r="E22" s="86"/>
      <c r="F22" s="86"/>
      <c r="G22" s="86"/>
    </row>
    <row r="23" spans="1:7" ht="10.95" customHeight="1" x14ac:dyDescent="0.3">
      <c r="A23" s="86" t="s">
        <v>23</v>
      </c>
      <c r="B23" s="86"/>
      <c r="C23" s="86"/>
      <c r="D23" s="86"/>
      <c r="E23" s="86"/>
      <c r="F23" s="86"/>
      <c r="G23" s="86"/>
    </row>
    <row r="24" spans="1:7" ht="10.95" customHeight="1" x14ac:dyDescent="0.3">
      <c r="A24" s="86" t="s">
        <v>24</v>
      </c>
      <c r="B24" s="86"/>
      <c r="C24" s="86"/>
      <c r="D24" s="86"/>
      <c r="E24" s="86"/>
      <c r="F24" s="86"/>
      <c r="G24" s="86"/>
    </row>
    <row r="25" spans="1:7" ht="23.4" customHeight="1" x14ac:dyDescent="0.3">
      <c r="A25" s="100" t="s">
        <v>114</v>
      </c>
      <c r="B25" s="100"/>
      <c r="C25" s="100"/>
      <c r="D25" s="100"/>
      <c r="E25" s="100"/>
      <c r="F25" s="100"/>
      <c r="G25" s="100"/>
    </row>
    <row r="26" spans="1:7" ht="10.95" customHeight="1" x14ac:dyDescent="0.3">
      <c r="A26" s="86" t="s">
        <v>25</v>
      </c>
      <c r="B26" s="86"/>
      <c r="C26" s="86"/>
      <c r="D26" s="86"/>
      <c r="E26" s="86"/>
      <c r="F26" s="86"/>
      <c r="G26" s="86"/>
    </row>
    <row r="27" spans="1:7" ht="10.95" customHeight="1" x14ac:dyDescent="0.3">
      <c r="A27" s="86" t="s">
        <v>77</v>
      </c>
      <c r="B27" s="86"/>
      <c r="C27" s="86"/>
      <c r="D27" s="86"/>
      <c r="E27" s="86"/>
      <c r="F27" s="86"/>
      <c r="G27" s="86"/>
    </row>
    <row r="28" spans="1:7" ht="10.95" customHeight="1" x14ac:dyDescent="0.3">
      <c r="A28" s="86" t="s">
        <v>26</v>
      </c>
      <c r="B28" s="86"/>
      <c r="C28" s="86"/>
      <c r="D28" s="86"/>
      <c r="E28" s="86"/>
      <c r="F28" s="86"/>
      <c r="G28" s="86"/>
    </row>
    <row r="29" spans="1:7" ht="36" customHeight="1" x14ac:dyDescent="0.3">
      <c r="A29" s="76" t="s">
        <v>27</v>
      </c>
      <c r="B29" s="76"/>
      <c r="C29" s="76"/>
      <c r="D29" s="76"/>
      <c r="E29" s="87" t="s">
        <v>116</v>
      </c>
      <c r="F29" s="87"/>
      <c r="G29" s="87"/>
    </row>
  </sheetData>
  <mergeCells count="35">
    <mergeCell ref="G3:G4"/>
    <mergeCell ref="E2:F2"/>
    <mergeCell ref="B9:D9"/>
    <mergeCell ref="E9:F9"/>
    <mergeCell ref="E5:F5"/>
    <mergeCell ref="E6:F6"/>
    <mergeCell ref="E7:F7"/>
    <mergeCell ref="A4:D5"/>
    <mergeCell ref="E3:F4"/>
    <mergeCell ref="E10:F10"/>
    <mergeCell ref="A16:B16"/>
    <mergeCell ref="A28:G28"/>
    <mergeCell ref="A21:G21"/>
    <mergeCell ref="A27:G27"/>
    <mergeCell ref="A22:G22"/>
    <mergeCell ref="A23:G23"/>
    <mergeCell ref="A24:G24"/>
    <mergeCell ref="A25:G25"/>
    <mergeCell ref="A26:G26"/>
    <mergeCell ref="A29:D29"/>
    <mergeCell ref="A1:G1"/>
    <mergeCell ref="A2:D2"/>
    <mergeCell ref="A3:D3"/>
    <mergeCell ref="F8:G8"/>
    <mergeCell ref="A6:D6"/>
    <mergeCell ref="A7:D7"/>
    <mergeCell ref="B8:D8"/>
    <mergeCell ref="A17:D17"/>
    <mergeCell ref="A18:G18"/>
    <mergeCell ref="A19:G19"/>
    <mergeCell ref="E29:G29"/>
    <mergeCell ref="B10:D10"/>
    <mergeCell ref="A20:G20"/>
    <mergeCell ref="C16:F16"/>
    <mergeCell ref="E17:G17"/>
  </mergeCells>
  <hyperlinks>
    <hyperlink ref="A6" r:id="rId1" display="saleswest@sasaengineering.com" xr:uid="{00000000-0004-0000-0000-000000000000}"/>
    <hyperlink ref="F8" r:id="rId2" xr:uid="{319EA7EE-F4F4-4EB2-83A9-707253765FC8}"/>
  </hyperlinks>
  <pageMargins left="0.7" right="0.7" top="1.3333333333333333" bottom="0.75" header="0.3" footer="0.3"/>
  <pageSetup paperSize="9" orientation="portrait" r:id="rId3"/>
  <headerFooter>
    <oddHeader>&amp;L&amp;G</oddHeader>
  </headerFooter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"/>
  <sheetViews>
    <sheetView workbookViewId="0">
      <pane xSplit="1" topLeftCell="B1" activePane="topRight" state="frozen"/>
      <selection pane="topRight" activeCell="M3" sqref="M3"/>
    </sheetView>
  </sheetViews>
  <sheetFormatPr defaultRowHeight="14.4" x14ac:dyDescent="0.3"/>
  <cols>
    <col min="1" max="1" width="3.6640625" customWidth="1"/>
    <col min="2" max="2" width="24.33203125" bestFit="1" customWidth="1"/>
    <col min="3" max="3" width="19.33203125" bestFit="1" customWidth="1"/>
    <col min="4" max="4" width="5.6640625" bestFit="1" customWidth="1"/>
    <col min="5" max="5" width="11" style="36" customWidth="1"/>
    <col min="6" max="6" width="8.88671875" customWidth="1"/>
    <col min="7" max="7" width="10.6640625" bestFit="1" customWidth="1"/>
    <col min="8" max="9" width="7.33203125" bestFit="1" customWidth="1"/>
    <col min="10" max="10" width="10.33203125" bestFit="1" customWidth="1"/>
    <col min="11" max="11" width="9.6640625" bestFit="1" customWidth="1"/>
    <col min="12" max="13" width="9.6640625" customWidth="1"/>
    <col min="14" max="14" width="5" bestFit="1" customWidth="1"/>
    <col min="15" max="15" width="8" bestFit="1" customWidth="1"/>
    <col min="16" max="16" width="27.6640625" bestFit="1" customWidth="1"/>
    <col min="17" max="17" width="5.109375" customWidth="1"/>
    <col min="18" max="18" width="69.6640625" hidden="1" customWidth="1"/>
    <col min="22" max="24" width="7.44140625" customWidth="1"/>
    <col min="25" max="25" width="14.6640625" customWidth="1"/>
    <col min="26" max="26" width="13.109375" customWidth="1"/>
    <col min="27" max="27" width="18.33203125" customWidth="1"/>
    <col min="28" max="28" width="1.88671875" customWidth="1"/>
    <col min="29" max="29" width="12.109375" customWidth="1"/>
    <col min="30" max="30" width="12" customWidth="1"/>
    <col min="31" max="31" width="12.6640625" customWidth="1"/>
  </cols>
  <sheetData>
    <row r="1" spans="1:38" s="10" customFormat="1" ht="43.2" x14ac:dyDescent="0.3">
      <c r="A1" s="9" t="s">
        <v>9</v>
      </c>
      <c r="B1" s="9" t="s">
        <v>10</v>
      </c>
      <c r="C1" s="9" t="s">
        <v>6</v>
      </c>
      <c r="D1" s="9" t="s">
        <v>1</v>
      </c>
      <c r="E1" s="34" t="s">
        <v>11</v>
      </c>
      <c r="F1" s="9" t="s">
        <v>12</v>
      </c>
      <c r="G1" s="9" t="s">
        <v>131</v>
      </c>
      <c r="H1" s="9" t="s">
        <v>3</v>
      </c>
      <c r="I1" s="9" t="s">
        <v>4</v>
      </c>
      <c r="J1" s="9" t="s">
        <v>7</v>
      </c>
      <c r="K1" s="9" t="s">
        <v>0</v>
      </c>
      <c r="L1" s="9" t="s">
        <v>42</v>
      </c>
      <c r="M1" s="9" t="s">
        <v>43</v>
      </c>
      <c r="N1" s="9" t="s">
        <v>2</v>
      </c>
      <c r="O1" s="9" t="s">
        <v>8</v>
      </c>
      <c r="P1" s="9" t="s">
        <v>5</v>
      </c>
      <c r="S1" s="29" t="s">
        <v>48</v>
      </c>
      <c r="T1" s="30" t="s">
        <v>49</v>
      </c>
      <c r="V1" s="123" t="s">
        <v>129</v>
      </c>
      <c r="W1" s="123" t="s">
        <v>128</v>
      </c>
      <c r="X1" s="123" t="s">
        <v>130</v>
      </c>
    </row>
    <row r="2" spans="1:38" ht="15" thickBot="1" x14ac:dyDescent="0.35">
      <c r="A2" s="7" t="s">
        <v>36</v>
      </c>
      <c r="B2" s="32" t="s">
        <v>124</v>
      </c>
      <c r="C2" s="8" t="s">
        <v>132</v>
      </c>
      <c r="D2" s="6">
        <v>18</v>
      </c>
      <c r="E2" s="35" t="s">
        <v>123</v>
      </c>
      <c r="F2" s="1">
        <v>769</v>
      </c>
      <c r="G2" s="5">
        <f>F2*0.053*D2</f>
        <v>733.62599999999998</v>
      </c>
      <c r="H2" s="2">
        <v>1</v>
      </c>
      <c r="I2" s="5">
        <f>H2*1</f>
        <v>1</v>
      </c>
      <c r="J2" s="3">
        <f>G2+I2</f>
        <v>734.62599999999998</v>
      </c>
      <c r="K2" s="21">
        <f t="shared" ref="K2:K27" si="0">J2</f>
        <v>734.62599999999998</v>
      </c>
      <c r="L2" s="21">
        <f>K2*1%</f>
        <v>7.34626</v>
      </c>
      <c r="M2" s="21">
        <f t="shared" ref="M2:M8" si="1">K2+L2</f>
        <v>741.97226000000001</v>
      </c>
      <c r="N2" s="22">
        <v>12</v>
      </c>
      <c r="O2" s="3">
        <f>M2*N2</f>
        <v>8903.6671200000001</v>
      </c>
      <c r="P2" s="4" t="str">
        <f>IF('Costing break up'!G2&gt;0,"CNC Laser Cutting, ","")</f>
        <v xml:space="preserve">CNC Laser Cutting, </v>
      </c>
      <c r="S2" s="2">
        <v>890</v>
      </c>
      <c r="T2" s="2">
        <f>S2*N2</f>
        <v>10680</v>
      </c>
      <c r="V2">
        <v>150</v>
      </c>
      <c r="W2">
        <f>F2/V2</f>
        <v>5.1266666666666669</v>
      </c>
      <c r="X2">
        <f>W2*60</f>
        <v>307.60000000000002</v>
      </c>
    </row>
    <row r="3" spans="1:38" ht="16.2" thickBot="1" x14ac:dyDescent="0.35">
      <c r="A3" s="7" t="s">
        <v>37</v>
      </c>
      <c r="B3" s="32" t="s">
        <v>125</v>
      </c>
      <c r="C3" s="8" t="s">
        <v>133</v>
      </c>
      <c r="D3" s="6">
        <v>22</v>
      </c>
      <c r="E3" s="35" t="s">
        <v>123</v>
      </c>
      <c r="F3" s="1">
        <v>1270</v>
      </c>
      <c r="G3" s="5">
        <f>F3*0.055*D3</f>
        <v>1536.6999999999998</v>
      </c>
      <c r="H3" s="2">
        <v>1</v>
      </c>
      <c r="I3" s="5">
        <f t="shared" ref="I3:I27" si="2">H3*1</f>
        <v>1</v>
      </c>
      <c r="J3" s="3">
        <f t="shared" ref="J3:J27" si="3">G3+I3</f>
        <v>1537.6999999999998</v>
      </c>
      <c r="K3" s="21">
        <f t="shared" si="0"/>
        <v>1537.6999999999998</v>
      </c>
      <c r="L3" s="21">
        <f t="shared" ref="L3:L5" si="4">K3*1%</f>
        <v>15.376999999999999</v>
      </c>
      <c r="M3" s="21">
        <f t="shared" si="1"/>
        <v>1553.0769999999998</v>
      </c>
      <c r="N3" s="22">
        <v>6</v>
      </c>
      <c r="O3" s="3">
        <f t="shared" ref="O3:O4" si="5">M3*N3</f>
        <v>9318.4619999999995</v>
      </c>
      <c r="P3" s="4" t="str">
        <f>IF('Costing break up'!G3&gt;0,"CNC Laser Cutting, ","")</f>
        <v xml:space="preserve">CNC Laser Cutting, </v>
      </c>
      <c r="Q3" s="13"/>
      <c r="R3" s="28" t="e">
        <f>IF(G2&gt;0,"CNC Laser Cutting, ","")&amp; IF(#REF!&gt;0,"Powder Coating, ","")&amp; IF(#REF!&gt;0,"CNC Bending ","")&amp;"with material "&amp;'Costing break up'!E2&amp;" "</f>
        <v>#REF!</v>
      </c>
      <c r="S3" s="2">
        <v>0</v>
      </c>
      <c r="T3" s="2">
        <f>S3*N3</f>
        <v>0</v>
      </c>
      <c r="V3">
        <v>130</v>
      </c>
      <c r="W3">
        <f t="shared" ref="W3:W5" si="6">F3/V3</f>
        <v>9.7692307692307701</v>
      </c>
      <c r="X3">
        <f t="shared" ref="X3:X5" si="7">W3*60</f>
        <v>586.15384615384619</v>
      </c>
      <c r="AB3" s="116" t="s">
        <v>111</v>
      </c>
      <c r="AC3" s="117"/>
      <c r="AD3" s="117"/>
      <c r="AE3" s="117"/>
      <c r="AF3" s="117"/>
      <c r="AG3" s="117"/>
      <c r="AH3" s="117"/>
      <c r="AI3" s="117"/>
      <c r="AJ3" s="117"/>
      <c r="AK3" s="117"/>
      <c r="AL3" s="118"/>
    </row>
    <row r="4" spans="1:38" ht="16.2" thickBot="1" x14ac:dyDescent="0.35">
      <c r="A4" s="7" t="s">
        <v>38</v>
      </c>
      <c r="B4" s="32" t="s">
        <v>126</v>
      </c>
      <c r="C4" s="8" t="s">
        <v>134</v>
      </c>
      <c r="D4" s="6">
        <v>22</v>
      </c>
      <c r="E4" s="35" t="s">
        <v>123</v>
      </c>
      <c r="F4" s="1">
        <v>352</v>
      </c>
      <c r="G4" s="5">
        <f t="shared" ref="G4:G27" si="8">F4*0.055*D4</f>
        <v>425.91999999999996</v>
      </c>
      <c r="H4" s="2">
        <v>1</v>
      </c>
      <c r="I4" s="5">
        <f t="shared" si="2"/>
        <v>1</v>
      </c>
      <c r="J4" s="3">
        <f t="shared" si="3"/>
        <v>426.91999999999996</v>
      </c>
      <c r="K4" s="21">
        <f t="shared" si="0"/>
        <v>426.91999999999996</v>
      </c>
      <c r="L4" s="21">
        <f t="shared" si="4"/>
        <v>4.2691999999999997</v>
      </c>
      <c r="M4" s="21">
        <f t="shared" si="1"/>
        <v>431.18919999999997</v>
      </c>
      <c r="N4" s="22">
        <v>10</v>
      </c>
      <c r="O4" s="3">
        <f t="shared" si="5"/>
        <v>4311.8919999999998</v>
      </c>
      <c r="P4" s="4" t="str">
        <f>IF('Costing break up'!G4&gt;0,"CNC Laser Cutting, ","")</f>
        <v xml:space="preserve">CNC Laser Cutting, </v>
      </c>
      <c r="S4" s="2">
        <v>0</v>
      </c>
      <c r="T4" s="2">
        <f>S4*N4</f>
        <v>0</v>
      </c>
      <c r="V4">
        <v>130</v>
      </c>
      <c r="W4">
        <f t="shared" si="6"/>
        <v>2.7076923076923078</v>
      </c>
      <c r="X4">
        <f t="shared" si="7"/>
        <v>162.46153846153848</v>
      </c>
      <c r="AB4" s="119" t="s">
        <v>78</v>
      </c>
      <c r="AC4" s="120"/>
      <c r="AD4" s="120"/>
      <c r="AE4" s="120"/>
      <c r="AF4" s="120"/>
      <c r="AG4" s="121"/>
      <c r="AI4" s="70" t="s">
        <v>93</v>
      </c>
      <c r="AJ4" s="71"/>
      <c r="AK4" s="71"/>
      <c r="AL4" s="72"/>
    </row>
    <row r="5" spans="1:38" ht="16.2" thickBot="1" x14ac:dyDescent="0.35">
      <c r="A5" s="7" t="s">
        <v>39</v>
      </c>
      <c r="B5" s="32" t="s">
        <v>127</v>
      </c>
      <c r="C5" s="8" t="s">
        <v>135</v>
      </c>
      <c r="D5" s="6">
        <v>22</v>
      </c>
      <c r="E5" s="35" t="s">
        <v>123</v>
      </c>
      <c r="F5" s="1">
        <v>412</v>
      </c>
      <c r="G5" s="5">
        <f t="shared" si="8"/>
        <v>498.52</v>
      </c>
      <c r="H5" s="2">
        <v>1</v>
      </c>
      <c r="I5" s="5">
        <f t="shared" si="2"/>
        <v>1</v>
      </c>
      <c r="J5" s="3">
        <f t="shared" si="3"/>
        <v>499.52</v>
      </c>
      <c r="K5" s="21">
        <f t="shared" si="0"/>
        <v>499.52</v>
      </c>
      <c r="L5" s="21">
        <f t="shared" si="4"/>
        <v>4.9951999999999996</v>
      </c>
      <c r="M5" s="21">
        <f t="shared" si="1"/>
        <v>504.51519999999999</v>
      </c>
      <c r="N5" s="22">
        <v>2</v>
      </c>
      <c r="O5" s="3">
        <f t="shared" ref="O5" si="9">M5*N5</f>
        <v>1009.0304</v>
      </c>
      <c r="P5" s="4" t="str">
        <f>IF('Costing break up'!G5&gt;0,"CNC Laser Cutting, ","")</f>
        <v xml:space="preserve">CNC Laser Cutting, </v>
      </c>
      <c r="S5" s="2">
        <v>0</v>
      </c>
      <c r="T5" s="2">
        <f>S5*N5</f>
        <v>0</v>
      </c>
      <c r="V5">
        <v>130</v>
      </c>
      <c r="W5">
        <f t="shared" si="6"/>
        <v>3.1692307692307691</v>
      </c>
      <c r="X5">
        <f t="shared" si="7"/>
        <v>190.15384615384613</v>
      </c>
      <c r="AB5" s="37"/>
      <c r="AC5" s="38" t="s">
        <v>79</v>
      </c>
      <c r="AD5" s="38" t="s">
        <v>80</v>
      </c>
      <c r="AE5" s="38" t="s">
        <v>79</v>
      </c>
      <c r="AF5" s="39" t="s">
        <v>81</v>
      </c>
      <c r="AG5" s="40"/>
      <c r="AI5" s="61" t="s">
        <v>94</v>
      </c>
      <c r="AJ5" s="62" t="s">
        <v>95</v>
      </c>
      <c r="AK5" s="61" t="s">
        <v>96</v>
      </c>
      <c r="AL5" s="62" t="s">
        <v>95</v>
      </c>
    </row>
    <row r="6" spans="1:38" ht="16.2" thickBot="1" x14ac:dyDescent="0.35">
      <c r="A6" s="7" t="s">
        <v>44</v>
      </c>
      <c r="B6" s="32"/>
      <c r="C6" s="8"/>
      <c r="D6" s="6"/>
      <c r="E6" s="35"/>
      <c r="F6" s="1"/>
      <c r="G6" s="5">
        <f t="shared" si="8"/>
        <v>0</v>
      </c>
      <c r="H6" s="2"/>
      <c r="I6" s="5">
        <f t="shared" si="2"/>
        <v>0</v>
      </c>
      <c r="J6" s="3">
        <f t="shared" si="3"/>
        <v>0</v>
      </c>
      <c r="K6" s="21">
        <f t="shared" si="0"/>
        <v>0</v>
      </c>
      <c r="L6" s="21">
        <f t="shared" ref="L6:L27" si="10">K6*1%</f>
        <v>0</v>
      </c>
      <c r="M6" s="21">
        <f t="shared" si="1"/>
        <v>0</v>
      </c>
      <c r="N6" s="22"/>
      <c r="O6" s="3">
        <f t="shared" ref="O6" si="11">M6*N6</f>
        <v>0</v>
      </c>
      <c r="P6" s="4" t="str">
        <f>IF('Costing break up'!G6&gt;0,"CNC Laser Cutting, ","")</f>
        <v/>
      </c>
      <c r="S6" s="2">
        <v>0</v>
      </c>
      <c r="T6" s="2">
        <f>S6*N6</f>
        <v>0</v>
      </c>
      <c r="AB6" s="41">
        <v>1</v>
      </c>
      <c r="AC6" s="42">
        <v>15</v>
      </c>
      <c r="AD6" s="42">
        <v>1000</v>
      </c>
      <c r="AE6" s="43">
        <v>15</v>
      </c>
      <c r="AF6" s="44">
        <f>AC6*AD6/AE6</f>
        <v>1000</v>
      </c>
      <c r="AG6" s="45"/>
      <c r="AI6" s="55" t="s">
        <v>97</v>
      </c>
      <c r="AJ6" s="56" t="s">
        <v>98</v>
      </c>
      <c r="AK6" s="55" t="s">
        <v>99</v>
      </c>
      <c r="AL6" s="73" t="s">
        <v>100</v>
      </c>
    </row>
    <row r="7" spans="1:38" ht="16.2" thickBot="1" x14ac:dyDescent="0.35">
      <c r="A7" s="31" t="s">
        <v>45</v>
      </c>
      <c r="B7" s="32"/>
      <c r="C7" s="8"/>
      <c r="D7" s="6"/>
      <c r="E7" s="35"/>
      <c r="F7" s="1"/>
      <c r="G7" s="5">
        <f t="shared" si="8"/>
        <v>0</v>
      </c>
      <c r="H7" s="2"/>
      <c r="I7" s="5">
        <f t="shared" si="2"/>
        <v>0</v>
      </c>
      <c r="J7" s="3">
        <f t="shared" si="3"/>
        <v>0</v>
      </c>
      <c r="K7" s="21">
        <f t="shared" si="0"/>
        <v>0</v>
      </c>
      <c r="L7" s="21">
        <f t="shared" si="10"/>
        <v>0</v>
      </c>
      <c r="M7" s="21">
        <f t="shared" si="1"/>
        <v>0</v>
      </c>
      <c r="N7" s="22"/>
      <c r="O7" s="3">
        <f t="shared" ref="O7" si="12">M7*N7</f>
        <v>0</v>
      </c>
      <c r="P7" s="4" t="str">
        <f>IF('Costing break up'!G7&gt;0,"CNC Laser Cutting, ","")</f>
        <v/>
      </c>
      <c r="Q7" t="s">
        <v>47</v>
      </c>
      <c r="S7" s="2">
        <v>0</v>
      </c>
      <c r="T7" s="2">
        <f>S7*N7</f>
        <v>0</v>
      </c>
      <c r="AB7" s="63"/>
      <c r="AC7" s="66"/>
      <c r="AD7" s="66"/>
      <c r="AE7" s="66"/>
      <c r="AF7" s="66"/>
      <c r="AG7" s="66"/>
      <c r="AI7" s="57" t="s">
        <v>101</v>
      </c>
      <c r="AJ7" s="58" t="s">
        <v>98</v>
      </c>
      <c r="AK7" s="57" t="s">
        <v>102</v>
      </c>
      <c r="AL7" s="74"/>
    </row>
    <row r="8" spans="1:38" ht="16.2" thickBot="1" x14ac:dyDescent="0.35">
      <c r="A8" s="7" t="s">
        <v>46</v>
      </c>
      <c r="B8" s="32"/>
      <c r="C8" s="8"/>
      <c r="D8" s="6"/>
      <c r="E8" s="35"/>
      <c r="F8" s="1"/>
      <c r="G8" s="5">
        <f t="shared" si="8"/>
        <v>0</v>
      </c>
      <c r="H8" s="2"/>
      <c r="I8" s="5">
        <f t="shared" si="2"/>
        <v>0</v>
      </c>
      <c r="J8" s="3">
        <f t="shared" si="3"/>
        <v>0</v>
      </c>
      <c r="K8" s="21">
        <f t="shared" si="0"/>
        <v>0</v>
      </c>
      <c r="L8" s="21">
        <f t="shared" si="10"/>
        <v>0</v>
      </c>
      <c r="M8" s="21">
        <f t="shared" si="1"/>
        <v>0</v>
      </c>
      <c r="N8" s="22"/>
      <c r="O8" s="3">
        <f t="shared" ref="O8" si="13">M8*N8</f>
        <v>0</v>
      </c>
      <c r="P8" s="4" t="str">
        <f>IF('Costing break up'!G8&gt;0,"CNC Laser Cutting, ","")</f>
        <v/>
      </c>
      <c r="S8" s="2">
        <v>0</v>
      </c>
      <c r="T8" s="2">
        <f>S8*N8</f>
        <v>0</v>
      </c>
      <c r="AB8" s="113" t="s">
        <v>82</v>
      </c>
      <c r="AC8" s="114"/>
      <c r="AD8" s="114"/>
      <c r="AE8" s="114"/>
      <c r="AF8" s="114"/>
      <c r="AG8" s="115"/>
      <c r="AI8" s="57" t="s">
        <v>103</v>
      </c>
      <c r="AJ8" s="58" t="s">
        <v>100</v>
      </c>
      <c r="AK8" s="57" t="s">
        <v>104</v>
      </c>
      <c r="AL8" s="74"/>
    </row>
    <row r="9" spans="1:38" ht="16.2" thickBot="1" x14ac:dyDescent="0.35">
      <c r="A9" s="7" t="s">
        <v>52</v>
      </c>
      <c r="B9" s="32"/>
      <c r="C9" s="8"/>
      <c r="D9" s="6"/>
      <c r="E9" s="35"/>
      <c r="F9" s="1"/>
      <c r="G9" s="5">
        <f t="shared" si="8"/>
        <v>0</v>
      </c>
      <c r="H9" s="2"/>
      <c r="I9" s="5">
        <f t="shared" si="2"/>
        <v>0</v>
      </c>
      <c r="J9" s="3">
        <f t="shared" si="3"/>
        <v>0</v>
      </c>
      <c r="K9" s="21">
        <f t="shared" si="0"/>
        <v>0</v>
      </c>
      <c r="L9" s="21">
        <f t="shared" si="10"/>
        <v>0</v>
      </c>
      <c r="M9" s="21">
        <f t="shared" ref="M9" si="14">K9+L9</f>
        <v>0</v>
      </c>
      <c r="N9" s="22"/>
      <c r="O9" s="3">
        <f t="shared" ref="O9" si="15">M9*N9</f>
        <v>0</v>
      </c>
      <c r="P9" s="4" t="str">
        <f>IF('Costing break up'!G9&gt;0,"CNC Laser Cutting, ","")</f>
        <v/>
      </c>
      <c r="S9" s="2">
        <v>0</v>
      </c>
      <c r="T9" s="2">
        <f>S9*N9</f>
        <v>0</v>
      </c>
      <c r="AB9" s="37"/>
      <c r="AC9" s="38" t="s">
        <v>83</v>
      </c>
      <c r="AD9" s="38" t="s">
        <v>80</v>
      </c>
      <c r="AE9" s="38" t="s">
        <v>84</v>
      </c>
      <c r="AF9" s="38" t="s">
        <v>85</v>
      </c>
      <c r="AG9" s="40" t="s">
        <v>86</v>
      </c>
      <c r="AI9" s="57" t="s">
        <v>105</v>
      </c>
      <c r="AJ9" s="58" t="s">
        <v>98</v>
      </c>
      <c r="AK9" s="57" t="s">
        <v>106</v>
      </c>
      <c r="AL9" s="74"/>
    </row>
    <row r="10" spans="1:38" ht="15.6" x14ac:dyDescent="0.3">
      <c r="A10" s="7" t="s">
        <v>53</v>
      </c>
      <c r="B10" s="32"/>
      <c r="C10" s="8"/>
      <c r="D10" s="6"/>
      <c r="E10" s="35"/>
      <c r="F10" s="1"/>
      <c r="G10" s="5">
        <f t="shared" si="8"/>
        <v>0</v>
      </c>
      <c r="H10" s="2"/>
      <c r="I10" s="5">
        <f t="shared" si="2"/>
        <v>0</v>
      </c>
      <c r="J10" s="3">
        <f t="shared" si="3"/>
        <v>0</v>
      </c>
      <c r="K10" s="21">
        <f t="shared" si="0"/>
        <v>0</v>
      </c>
      <c r="L10" s="21">
        <f t="shared" si="10"/>
        <v>0</v>
      </c>
      <c r="M10" s="21">
        <f t="shared" ref="M10:M27" si="16">K10+L10</f>
        <v>0</v>
      </c>
      <c r="N10" s="22"/>
      <c r="O10" s="3">
        <f t="shared" ref="O10:O15" si="17">M10*N10</f>
        <v>0</v>
      </c>
      <c r="P10" s="4" t="str">
        <f>IF('Costing break up'!G10&gt;0,"CNC Laser Cutting, ","")</f>
        <v/>
      </c>
      <c r="S10" s="2">
        <v>0</v>
      </c>
      <c r="T10" s="2">
        <f>S10*N10</f>
        <v>0</v>
      </c>
      <c r="AB10" s="46">
        <v>1</v>
      </c>
      <c r="AC10" s="47">
        <v>2829</v>
      </c>
      <c r="AD10" s="47">
        <v>1000</v>
      </c>
      <c r="AE10" s="48">
        <f>AC10/AD10</f>
        <v>2.8290000000000002</v>
      </c>
      <c r="AF10" s="48">
        <f>AE10/60</f>
        <v>4.7150000000000004E-2</v>
      </c>
      <c r="AG10" s="49">
        <f>AF10*3700</f>
        <v>174.45500000000001</v>
      </c>
      <c r="AI10" s="57" t="s">
        <v>107</v>
      </c>
      <c r="AJ10" s="58" t="s">
        <v>98</v>
      </c>
      <c r="AK10" s="57" t="s">
        <v>108</v>
      </c>
      <c r="AL10" s="74"/>
    </row>
    <row r="11" spans="1:38" ht="16.2" thickBot="1" x14ac:dyDescent="0.35">
      <c r="A11" s="7" t="s">
        <v>54</v>
      </c>
      <c r="B11" s="32"/>
      <c r="C11" s="8"/>
      <c r="D11" s="6"/>
      <c r="E11" s="35"/>
      <c r="F11" s="1"/>
      <c r="G11" s="5">
        <f t="shared" si="8"/>
        <v>0</v>
      </c>
      <c r="H11" s="2"/>
      <c r="I11" s="5">
        <f t="shared" si="2"/>
        <v>0</v>
      </c>
      <c r="J11" s="3">
        <f t="shared" si="3"/>
        <v>0</v>
      </c>
      <c r="K11" s="21">
        <f t="shared" si="0"/>
        <v>0</v>
      </c>
      <c r="L11" s="21">
        <f t="shared" si="10"/>
        <v>0</v>
      </c>
      <c r="M11" s="21">
        <f t="shared" si="16"/>
        <v>0</v>
      </c>
      <c r="N11" s="22"/>
      <c r="O11" s="3">
        <f t="shared" si="17"/>
        <v>0</v>
      </c>
      <c r="P11" s="4" t="str">
        <f>IF('Costing break up'!G11&gt;0,"CNC Laser Cutting, ","")</f>
        <v/>
      </c>
      <c r="S11" s="2">
        <v>0</v>
      </c>
      <c r="T11" s="2">
        <f>S11*N11</f>
        <v>0</v>
      </c>
      <c r="AB11" s="50"/>
      <c r="AC11" s="51"/>
      <c r="AD11" s="51"/>
      <c r="AE11" s="51"/>
      <c r="AF11" s="51"/>
      <c r="AG11" s="52"/>
      <c r="AI11" s="59" t="s">
        <v>109</v>
      </c>
      <c r="AJ11" s="60" t="s">
        <v>98</v>
      </c>
      <c r="AK11" s="59" t="s">
        <v>110</v>
      </c>
      <c r="AL11" s="75"/>
    </row>
    <row r="12" spans="1:38" ht="16.2" thickBot="1" x14ac:dyDescent="0.35">
      <c r="A12" s="7" t="s">
        <v>55</v>
      </c>
      <c r="B12" s="32"/>
      <c r="C12" s="8"/>
      <c r="D12" s="6"/>
      <c r="E12" s="35"/>
      <c r="F12" s="1"/>
      <c r="G12" s="5">
        <f t="shared" si="8"/>
        <v>0</v>
      </c>
      <c r="H12" s="2"/>
      <c r="I12" s="5">
        <f t="shared" si="2"/>
        <v>0</v>
      </c>
      <c r="J12" s="3">
        <f t="shared" si="3"/>
        <v>0</v>
      </c>
      <c r="K12" s="21">
        <f t="shared" si="0"/>
        <v>0</v>
      </c>
      <c r="L12" s="21">
        <f t="shared" si="10"/>
        <v>0</v>
      </c>
      <c r="M12" s="21">
        <f t="shared" si="16"/>
        <v>0</v>
      </c>
      <c r="N12" s="22"/>
      <c r="O12" s="3">
        <f t="shared" si="17"/>
        <v>0</v>
      </c>
      <c r="P12" s="4" t="str">
        <f>IF('Costing break up'!G12&gt;0,"CNC Laser Cutting, ","")</f>
        <v/>
      </c>
      <c r="S12" s="2">
        <v>0</v>
      </c>
      <c r="T12" s="2">
        <f>S12*N12</f>
        <v>0</v>
      </c>
      <c r="AB12" s="63"/>
      <c r="AC12" s="66"/>
      <c r="AD12" s="66"/>
      <c r="AE12" s="66"/>
      <c r="AF12" s="66"/>
      <c r="AG12" s="66"/>
      <c r="AL12" s="64"/>
    </row>
    <row r="13" spans="1:38" ht="16.2" thickBot="1" x14ac:dyDescent="0.35">
      <c r="A13" s="7" t="s">
        <v>56</v>
      </c>
      <c r="B13" s="32"/>
      <c r="C13" s="8"/>
      <c r="D13" s="6"/>
      <c r="E13" s="35"/>
      <c r="F13" s="1"/>
      <c r="G13" s="5">
        <f t="shared" si="8"/>
        <v>0</v>
      </c>
      <c r="H13" s="2"/>
      <c r="I13" s="5">
        <f t="shared" si="2"/>
        <v>0</v>
      </c>
      <c r="J13" s="3">
        <f t="shared" si="3"/>
        <v>0</v>
      </c>
      <c r="K13" s="21">
        <f t="shared" si="0"/>
        <v>0</v>
      </c>
      <c r="L13" s="21">
        <f t="shared" si="10"/>
        <v>0</v>
      </c>
      <c r="M13" s="21">
        <f t="shared" si="16"/>
        <v>0</v>
      </c>
      <c r="N13" s="22"/>
      <c r="O13" s="3">
        <f t="shared" si="17"/>
        <v>0</v>
      </c>
      <c r="P13" s="4" t="str">
        <f>IF('Costing break up'!G13&gt;0,"CNC Laser Cutting, ","")</f>
        <v/>
      </c>
      <c r="S13" s="2">
        <v>0</v>
      </c>
      <c r="T13" s="2">
        <f>S13*N13</f>
        <v>0</v>
      </c>
      <c r="AB13" s="113" t="s">
        <v>87</v>
      </c>
      <c r="AC13" s="114"/>
      <c r="AD13" s="114"/>
      <c r="AE13" s="114"/>
      <c r="AF13" s="115"/>
      <c r="AG13" s="66"/>
      <c r="AL13" s="64"/>
    </row>
    <row r="14" spans="1:38" ht="16.2" thickBot="1" x14ac:dyDescent="0.35">
      <c r="A14" s="7" t="s">
        <v>57</v>
      </c>
      <c r="B14" s="32"/>
      <c r="C14" s="8"/>
      <c r="D14" s="6"/>
      <c r="E14" s="35"/>
      <c r="F14" s="1"/>
      <c r="G14" s="5">
        <f t="shared" si="8"/>
        <v>0</v>
      </c>
      <c r="H14" s="2"/>
      <c r="I14" s="5">
        <f t="shared" si="2"/>
        <v>0</v>
      </c>
      <c r="J14" s="3">
        <f t="shared" si="3"/>
        <v>0</v>
      </c>
      <c r="K14" s="21">
        <f t="shared" si="0"/>
        <v>0</v>
      </c>
      <c r="L14" s="21">
        <f t="shared" si="10"/>
        <v>0</v>
      </c>
      <c r="M14" s="21">
        <f t="shared" si="16"/>
        <v>0</v>
      </c>
      <c r="N14" s="22"/>
      <c r="O14" s="3">
        <f t="shared" si="17"/>
        <v>0</v>
      </c>
      <c r="P14" s="4" t="str">
        <f>IF('Costing break up'!G14&gt;0,"CNC Laser Cutting, ","")</f>
        <v/>
      </c>
      <c r="S14" s="2">
        <v>0</v>
      </c>
      <c r="T14" s="2">
        <f>S14*N14</f>
        <v>0</v>
      </c>
      <c r="AB14" s="37" t="s">
        <v>88</v>
      </c>
      <c r="AC14" s="38" t="s">
        <v>89</v>
      </c>
      <c r="AD14" s="38" t="s">
        <v>90</v>
      </c>
      <c r="AE14" s="38" t="s">
        <v>91</v>
      </c>
      <c r="AF14" s="40" t="s">
        <v>92</v>
      </c>
      <c r="AG14" s="66"/>
      <c r="AL14" s="64"/>
    </row>
    <row r="15" spans="1:38" ht="15.6" x14ac:dyDescent="0.3">
      <c r="A15" s="7" t="s">
        <v>58</v>
      </c>
      <c r="B15" s="32"/>
      <c r="C15" s="8"/>
      <c r="D15" s="6"/>
      <c r="E15" s="35"/>
      <c r="F15" s="1"/>
      <c r="G15" s="5">
        <f t="shared" si="8"/>
        <v>0</v>
      </c>
      <c r="H15" s="2"/>
      <c r="I15" s="5">
        <f t="shared" si="2"/>
        <v>0</v>
      </c>
      <c r="J15" s="3">
        <f t="shared" si="3"/>
        <v>0</v>
      </c>
      <c r="K15" s="21">
        <f t="shared" si="0"/>
        <v>0</v>
      </c>
      <c r="L15" s="21">
        <f t="shared" si="10"/>
        <v>0</v>
      </c>
      <c r="M15" s="21">
        <f t="shared" si="16"/>
        <v>0</v>
      </c>
      <c r="N15" s="22"/>
      <c r="O15" s="3">
        <f t="shared" si="17"/>
        <v>0</v>
      </c>
      <c r="P15" s="4" t="str">
        <f>IF('Costing break up'!G15&gt;0,"CNC Laser Cutting, ","")</f>
        <v/>
      </c>
      <c r="S15" s="2">
        <v>0</v>
      </c>
      <c r="T15" s="2">
        <f>S15*N15</f>
        <v>0</v>
      </c>
      <c r="AB15" s="46">
        <v>1</v>
      </c>
      <c r="AC15" s="47">
        <f>AC10</f>
        <v>2829</v>
      </c>
      <c r="AD15" s="65">
        <f>AE6</f>
        <v>15</v>
      </c>
      <c r="AE15" s="53">
        <v>8</v>
      </c>
      <c r="AF15" s="54">
        <f>AC15*AD15*AE15/1000</f>
        <v>339.48</v>
      </c>
      <c r="AG15" s="66"/>
      <c r="AL15" s="64"/>
    </row>
    <row r="16" spans="1:38" ht="16.2" thickBot="1" x14ac:dyDescent="0.35">
      <c r="A16" s="7" t="s">
        <v>59</v>
      </c>
      <c r="B16" s="32"/>
      <c r="C16" s="8"/>
      <c r="D16" s="6"/>
      <c r="E16" s="35"/>
      <c r="F16" s="1"/>
      <c r="G16" s="5">
        <f t="shared" si="8"/>
        <v>0</v>
      </c>
      <c r="H16" s="2"/>
      <c r="I16" s="5">
        <f t="shared" si="2"/>
        <v>0</v>
      </c>
      <c r="J16" s="3">
        <f t="shared" si="3"/>
        <v>0</v>
      </c>
      <c r="K16" s="21">
        <f t="shared" si="0"/>
        <v>0</v>
      </c>
      <c r="L16" s="21">
        <f t="shared" si="10"/>
        <v>0</v>
      </c>
      <c r="M16" s="21">
        <f t="shared" si="16"/>
        <v>0</v>
      </c>
      <c r="N16" s="22"/>
      <c r="O16" s="3">
        <f>M16*N16</f>
        <v>0</v>
      </c>
      <c r="P16" s="4" t="str">
        <f>IF('Costing break up'!G16&gt;0,"CNC Laser Cutting, ","")</f>
        <v/>
      </c>
      <c r="S16" s="2">
        <v>0</v>
      </c>
      <c r="T16" s="2">
        <f>S16*N16</f>
        <v>0</v>
      </c>
      <c r="AB16" s="50"/>
      <c r="AC16" s="51"/>
      <c r="AD16" s="51"/>
      <c r="AE16" s="51"/>
      <c r="AF16" s="52"/>
      <c r="AG16" s="66"/>
      <c r="AL16" s="64"/>
    </row>
    <row r="17" spans="1:38" ht="15" thickBot="1" x14ac:dyDescent="0.35">
      <c r="A17" s="7" t="s">
        <v>60</v>
      </c>
      <c r="B17" s="32"/>
      <c r="C17" s="8"/>
      <c r="D17" s="6"/>
      <c r="E17" s="35"/>
      <c r="F17" s="1"/>
      <c r="G17" s="5">
        <f t="shared" si="8"/>
        <v>0</v>
      </c>
      <c r="H17" s="2"/>
      <c r="I17" s="5">
        <f t="shared" si="2"/>
        <v>0</v>
      </c>
      <c r="J17" s="3">
        <f t="shared" si="3"/>
        <v>0</v>
      </c>
      <c r="K17" s="21">
        <f t="shared" si="0"/>
        <v>0</v>
      </c>
      <c r="L17" s="21">
        <f t="shared" si="10"/>
        <v>0</v>
      </c>
      <c r="M17" s="21">
        <f t="shared" si="16"/>
        <v>0</v>
      </c>
      <c r="N17" s="22"/>
      <c r="O17" s="3">
        <f t="shared" ref="O17:O27" si="18">M17*N17</f>
        <v>0</v>
      </c>
      <c r="P17" s="4" t="str">
        <f>IF('Costing break up'!G17&gt;0,"CNC Laser Cutting, ","")</f>
        <v/>
      </c>
      <c r="S17" s="2">
        <v>0</v>
      </c>
      <c r="T17" s="2">
        <f>S17*N17</f>
        <v>0</v>
      </c>
      <c r="AB17" s="67"/>
      <c r="AC17" s="68"/>
      <c r="AD17" s="68"/>
      <c r="AE17" s="68"/>
      <c r="AF17" s="68"/>
      <c r="AG17" s="68"/>
      <c r="AH17" s="68"/>
      <c r="AI17" s="68"/>
      <c r="AJ17" s="68"/>
      <c r="AK17" s="68"/>
      <c r="AL17" s="69"/>
    </row>
    <row r="18" spans="1:38" x14ac:dyDescent="0.3">
      <c r="A18" s="7" t="s">
        <v>61</v>
      </c>
      <c r="B18" s="32"/>
      <c r="C18" s="8"/>
      <c r="D18" s="6"/>
      <c r="E18" s="35"/>
      <c r="F18" s="1"/>
      <c r="G18" s="5">
        <f t="shared" si="8"/>
        <v>0</v>
      </c>
      <c r="H18" s="2"/>
      <c r="I18" s="5">
        <f t="shared" si="2"/>
        <v>0</v>
      </c>
      <c r="J18" s="3">
        <f t="shared" si="3"/>
        <v>0</v>
      </c>
      <c r="K18" s="21">
        <f t="shared" si="0"/>
        <v>0</v>
      </c>
      <c r="L18" s="21">
        <f t="shared" si="10"/>
        <v>0</v>
      </c>
      <c r="M18" s="21">
        <f t="shared" si="16"/>
        <v>0</v>
      </c>
      <c r="N18" s="22"/>
      <c r="O18" s="3">
        <f t="shared" si="18"/>
        <v>0</v>
      </c>
      <c r="P18" s="4" t="str">
        <f>IF('Costing break up'!G18&gt;0,"CNC Laser Cutting, ","")</f>
        <v/>
      </c>
      <c r="S18" s="2">
        <v>0</v>
      </c>
      <c r="T18" s="2">
        <f>S18*N18</f>
        <v>0</v>
      </c>
    </row>
    <row r="19" spans="1:38" x14ac:dyDescent="0.3">
      <c r="A19" s="7" t="s">
        <v>62</v>
      </c>
      <c r="B19" s="32"/>
      <c r="C19" s="8"/>
      <c r="D19" s="6"/>
      <c r="E19" s="35"/>
      <c r="F19" s="1"/>
      <c r="G19" s="5">
        <f t="shared" si="8"/>
        <v>0</v>
      </c>
      <c r="H19" s="2"/>
      <c r="I19" s="5">
        <f t="shared" si="2"/>
        <v>0</v>
      </c>
      <c r="J19" s="3">
        <f t="shared" si="3"/>
        <v>0</v>
      </c>
      <c r="K19" s="21">
        <f t="shared" si="0"/>
        <v>0</v>
      </c>
      <c r="L19" s="21">
        <f t="shared" si="10"/>
        <v>0</v>
      </c>
      <c r="M19" s="21">
        <f t="shared" si="16"/>
        <v>0</v>
      </c>
      <c r="N19" s="22"/>
      <c r="O19" s="3">
        <f t="shared" si="18"/>
        <v>0</v>
      </c>
      <c r="P19" s="4" t="str">
        <f>IF('Costing break up'!G19&gt;0,"CNC Laser Cutting, ","")</f>
        <v/>
      </c>
      <c r="S19" s="2">
        <v>0</v>
      </c>
      <c r="T19" s="2">
        <f>S19*N19</f>
        <v>0</v>
      </c>
    </row>
    <row r="20" spans="1:38" x14ac:dyDescent="0.3">
      <c r="A20" s="7" t="s">
        <v>63</v>
      </c>
      <c r="B20" s="32"/>
      <c r="C20" s="8"/>
      <c r="D20" s="6"/>
      <c r="E20" s="35"/>
      <c r="F20" s="1"/>
      <c r="G20" s="5">
        <f t="shared" si="8"/>
        <v>0</v>
      </c>
      <c r="H20" s="2"/>
      <c r="I20" s="5">
        <f t="shared" si="2"/>
        <v>0</v>
      </c>
      <c r="J20" s="3">
        <f t="shared" si="3"/>
        <v>0</v>
      </c>
      <c r="K20" s="21">
        <f t="shared" si="0"/>
        <v>0</v>
      </c>
      <c r="L20" s="21">
        <f t="shared" si="10"/>
        <v>0</v>
      </c>
      <c r="M20" s="21">
        <f t="shared" si="16"/>
        <v>0</v>
      </c>
      <c r="N20" s="22"/>
      <c r="O20" s="3">
        <f t="shared" si="18"/>
        <v>0</v>
      </c>
      <c r="P20" s="4" t="str">
        <f>IF('Costing break up'!G20&gt;0,"CNC Laser Cutting, ","")</f>
        <v/>
      </c>
      <c r="S20" s="2">
        <v>0</v>
      </c>
      <c r="T20" s="2">
        <f>S20*N20</f>
        <v>0</v>
      </c>
    </row>
    <row r="21" spans="1:38" x14ac:dyDescent="0.3">
      <c r="A21" s="31" t="s">
        <v>64</v>
      </c>
      <c r="B21" s="32"/>
      <c r="C21" s="8"/>
      <c r="D21" s="6"/>
      <c r="E21" s="35"/>
      <c r="F21" s="1"/>
      <c r="G21" s="5">
        <f t="shared" si="8"/>
        <v>0</v>
      </c>
      <c r="H21" s="2"/>
      <c r="I21" s="5">
        <f t="shared" si="2"/>
        <v>0</v>
      </c>
      <c r="J21" s="3">
        <f t="shared" si="3"/>
        <v>0</v>
      </c>
      <c r="K21" s="21">
        <f t="shared" si="0"/>
        <v>0</v>
      </c>
      <c r="L21" s="21">
        <f t="shared" si="10"/>
        <v>0</v>
      </c>
      <c r="M21" s="21">
        <f t="shared" si="16"/>
        <v>0</v>
      </c>
      <c r="N21" s="22"/>
      <c r="O21" s="3">
        <f t="shared" si="18"/>
        <v>0</v>
      </c>
      <c r="P21" s="4" t="str">
        <f>IF('Costing break up'!G21&gt;0,"CNC Laser Cutting, ","")</f>
        <v/>
      </c>
      <c r="S21" s="2">
        <v>0</v>
      </c>
      <c r="T21" s="2">
        <f>S21*N21</f>
        <v>0</v>
      </c>
    </row>
    <row r="22" spans="1:38" x14ac:dyDescent="0.3">
      <c r="A22" s="7" t="s">
        <v>65</v>
      </c>
      <c r="B22" s="32"/>
      <c r="C22" s="8"/>
      <c r="D22" s="6"/>
      <c r="E22" s="35"/>
      <c r="F22" s="1"/>
      <c r="G22" s="5">
        <f t="shared" si="8"/>
        <v>0</v>
      </c>
      <c r="H22" s="2"/>
      <c r="I22" s="5">
        <f t="shared" si="2"/>
        <v>0</v>
      </c>
      <c r="J22" s="3">
        <f t="shared" si="3"/>
        <v>0</v>
      </c>
      <c r="K22" s="21">
        <f t="shared" si="0"/>
        <v>0</v>
      </c>
      <c r="L22" s="21">
        <f t="shared" si="10"/>
        <v>0</v>
      </c>
      <c r="M22" s="21">
        <f t="shared" si="16"/>
        <v>0</v>
      </c>
      <c r="N22" s="22"/>
      <c r="O22" s="3">
        <f t="shared" si="18"/>
        <v>0</v>
      </c>
      <c r="P22" s="4" t="str">
        <f>IF('Costing break up'!G22&gt;0,"CNC Laser Cutting, ","")</f>
        <v/>
      </c>
      <c r="S22" s="2">
        <v>0</v>
      </c>
      <c r="T22" s="2">
        <f>S22*N22</f>
        <v>0</v>
      </c>
    </row>
    <row r="23" spans="1:38" x14ac:dyDescent="0.3">
      <c r="A23" s="7" t="s">
        <v>66</v>
      </c>
      <c r="B23" s="32"/>
      <c r="C23" s="8"/>
      <c r="D23" s="6"/>
      <c r="E23" s="35"/>
      <c r="F23" s="1"/>
      <c r="G23" s="5">
        <f t="shared" si="8"/>
        <v>0</v>
      </c>
      <c r="H23" s="2"/>
      <c r="I23" s="5">
        <f t="shared" si="2"/>
        <v>0</v>
      </c>
      <c r="J23" s="3">
        <f t="shared" si="3"/>
        <v>0</v>
      </c>
      <c r="K23" s="21">
        <f t="shared" si="0"/>
        <v>0</v>
      </c>
      <c r="L23" s="21">
        <f t="shared" si="10"/>
        <v>0</v>
      </c>
      <c r="M23" s="21">
        <f t="shared" si="16"/>
        <v>0</v>
      </c>
      <c r="N23" s="22"/>
      <c r="O23" s="3">
        <f t="shared" si="18"/>
        <v>0</v>
      </c>
      <c r="P23" s="4" t="str">
        <f>IF('Costing break up'!G23&gt;0,"CNC Laser Cutting, ","")</f>
        <v/>
      </c>
      <c r="S23" s="2">
        <v>0</v>
      </c>
      <c r="T23" s="2">
        <f>S23*N23</f>
        <v>0</v>
      </c>
    </row>
    <row r="24" spans="1:38" x14ac:dyDescent="0.3">
      <c r="A24" s="7" t="s">
        <v>67</v>
      </c>
      <c r="B24" s="32"/>
      <c r="C24" s="8"/>
      <c r="D24" s="6"/>
      <c r="E24" s="35"/>
      <c r="F24" s="1"/>
      <c r="G24" s="5">
        <f t="shared" si="8"/>
        <v>0</v>
      </c>
      <c r="H24" s="2"/>
      <c r="I24" s="5">
        <f t="shared" si="2"/>
        <v>0</v>
      </c>
      <c r="J24" s="3">
        <f t="shared" si="3"/>
        <v>0</v>
      </c>
      <c r="K24" s="21">
        <f t="shared" si="0"/>
        <v>0</v>
      </c>
      <c r="L24" s="21">
        <f t="shared" si="10"/>
        <v>0</v>
      </c>
      <c r="M24" s="21">
        <f t="shared" si="16"/>
        <v>0</v>
      </c>
      <c r="N24" s="22"/>
      <c r="O24" s="3">
        <f t="shared" si="18"/>
        <v>0</v>
      </c>
      <c r="P24" s="4" t="str">
        <f>IF('Costing break up'!G24&gt;0,"CNC Laser Cutting, ","")</f>
        <v/>
      </c>
      <c r="S24" s="2">
        <v>0</v>
      </c>
      <c r="T24" s="2">
        <f>S24*N24</f>
        <v>0</v>
      </c>
    </row>
    <row r="25" spans="1:38" x14ac:dyDescent="0.3">
      <c r="A25" s="7" t="s">
        <v>68</v>
      </c>
      <c r="B25" s="32"/>
      <c r="C25" s="8"/>
      <c r="D25" s="6"/>
      <c r="E25" s="35"/>
      <c r="F25" s="1"/>
      <c r="G25" s="5">
        <f t="shared" si="8"/>
        <v>0</v>
      </c>
      <c r="H25" s="2"/>
      <c r="I25" s="5">
        <f t="shared" si="2"/>
        <v>0</v>
      </c>
      <c r="J25" s="3">
        <f t="shared" si="3"/>
        <v>0</v>
      </c>
      <c r="K25" s="21">
        <f t="shared" si="0"/>
        <v>0</v>
      </c>
      <c r="L25" s="21">
        <f t="shared" si="10"/>
        <v>0</v>
      </c>
      <c r="M25" s="21">
        <f t="shared" si="16"/>
        <v>0</v>
      </c>
      <c r="N25" s="22"/>
      <c r="O25" s="3">
        <f t="shared" si="18"/>
        <v>0</v>
      </c>
      <c r="P25" s="4" t="str">
        <f>IF('Costing break up'!G25&gt;0,"CNC Laser Cutting, ","")</f>
        <v/>
      </c>
      <c r="S25" s="2">
        <v>0</v>
      </c>
      <c r="T25" s="2">
        <f>S25*N25</f>
        <v>0</v>
      </c>
    </row>
    <row r="26" spans="1:38" x14ac:dyDescent="0.3">
      <c r="A26" s="7" t="s">
        <v>69</v>
      </c>
      <c r="B26" s="32"/>
      <c r="C26" s="8"/>
      <c r="D26" s="6"/>
      <c r="E26" s="35"/>
      <c r="F26" s="1"/>
      <c r="G26" s="5">
        <f t="shared" si="8"/>
        <v>0</v>
      </c>
      <c r="H26" s="2"/>
      <c r="I26" s="5">
        <f t="shared" si="2"/>
        <v>0</v>
      </c>
      <c r="J26" s="3">
        <f t="shared" si="3"/>
        <v>0</v>
      </c>
      <c r="K26" s="21">
        <f t="shared" si="0"/>
        <v>0</v>
      </c>
      <c r="L26" s="21">
        <f t="shared" si="10"/>
        <v>0</v>
      </c>
      <c r="M26" s="21">
        <f t="shared" si="16"/>
        <v>0</v>
      </c>
      <c r="N26" s="22"/>
      <c r="O26" s="3">
        <f t="shared" si="18"/>
        <v>0</v>
      </c>
      <c r="P26" s="4" t="str">
        <f>IF('Costing break up'!G26&gt;0,"CNC Laser Cutting, ","")</f>
        <v/>
      </c>
      <c r="S26" s="2">
        <v>0</v>
      </c>
      <c r="T26" s="2">
        <f>S26*N26</f>
        <v>0</v>
      </c>
    </row>
    <row r="27" spans="1:38" x14ac:dyDescent="0.3">
      <c r="A27" s="7" t="s">
        <v>70</v>
      </c>
      <c r="B27" s="32"/>
      <c r="C27" s="8"/>
      <c r="D27" s="6"/>
      <c r="E27" s="35"/>
      <c r="F27" s="1"/>
      <c r="G27" s="5">
        <f t="shared" si="8"/>
        <v>0</v>
      </c>
      <c r="H27" s="2"/>
      <c r="I27" s="5">
        <f t="shared" si="2"/>
        <v>0</v>
      </c>
      <c r="J27" s="3">
        <f t="shared" si="3"/>
        <v>0</v>
      </c>
      <c r="K27" s="21">
        <f t="shared" si="0"/>
        <v>0</v>
      </c>
      <c r="L27" s="21">
        <f t="shared" si="10"/>
        <v>0</v>
      </c>
      <c r="M27" s="21">
        <f t="shared" si="16"/>
        <v>0</v>
      </c>
      <c r="N27" s="22"/>
      <c r="O27" s="3">
        <f t="shared" si="18"/>
        <v>0</v>
      </c>
      <c r="P27" s="4" t="str">
        <f>IF('Costing break up'!G27&gt;0,"CNC Laser Cutting, ","")</f>
        <v/>
      </c>
      <c r="S27" s="2">
        <v>0</v>
      </c>
      <c r="T27" s="2">
        <f>S27*N27</f>
        <v>0</v>
      </c>
    </row>
    <row r="28" spans="1:38" x14ac:dyDescent="0.3">
      <c r="D28" s="27"/>
      <c r="E28" s="27"/>
      <c r="O28" s="33">
        <f>SUM(O2:O27)</f>
        <v>23543.051519999997</v>
      </c>
    </row>
    <row r="29" spans="1:38" x14ac:dyDescent="0.3">
      <c r="D29" s="27"/>
      <c r="E29" s="27"/>
    </row>
    <row r="30" spans="1:38" x14ac:dyDescent="0.3">
      <c r="D30" s="27"/>
      <c r="E30" s="27"/>
    </row>
  </sheetData>
  <autoFilter ref="A1:P8" xr:uid="{00000000-0009-0000-0000-000001000000}"/>
  <mergeCells count="4">
    <mergeCell ref="AB13:AF13"/>
    <mergeCell ref="AB3:AL3"/>
    <mergeCell ref="AB4:AG4"/>
    <mergeCell ref="AB8:AG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view="pageLayout" topLeftCell="A7" zoomScale="82" zoomScalePageLayoutView="82" workbookViewId="0">
      <selection activeCell="G10" sqref="G10"/>
    </sheetView>
  </sheetViews>
  <sheetFormatPr defaultRowHeight="14.4" x14ac:dyDescent="0.3"/>
  <cols>
    <col min="2" max="2" width="12" customWidth="1"/>
    <col min="3" max="3" width="9.88671875" customWidth="1"/>
    <col min="4" max="4" width="19.6640625" customWidth="1"/>
    <col min="5" max="5" width="7.6640625" customWidth="1"/>
    <col min="6" max="6" width="6.6640625" customWidth="1"/>
    <col min="7" max="7" width="19.44140625" customWidth="1"/>
    <col min="8" max="9" width="8.88671875" customWidth="1"/>
  </cols>
  <sheetData>
    <row r="1" spans="1:11" ht="23.4" customHeight="1" x14ac:dyDescent="0.3">
      <c r="A1" s="77" t="s">
        <v>13</v>
      </c>
      <c r="B1" s="77"/>
      <c r="C1" s="77"/>
      <c r="D1" s="77"/>
      <c r="E1" s="77"/>
      <c r="F1" s="77"/>
      <c r="G1" s="77"/>
    </row>
    <row r="2" spans="1:11" ht="16.95" customHeight="1" x14ac:dyDescent="0.3">
      <c r="A2" s="78" t="s">
        <v>14</v>
      </c>
      <c r="B2" s="78"/>
      <c r="C2" s="78"/>
      <c r="D2" s="78"/>
      <c r="E2" s="97" t="s">
        <v>15</v>
      </c>
      <c r="F2" s="98"/>
      <c r="G2" s="14" t="s">
        <v>119</v>
      </c>
    </row>
    <row r="3" spans="1:11" x14ac:dyDescent="0.3">
      <c r="A3" s="79" t="s">
        <v>71</v>
      </c>
      <c r="B3" s="79"/>
      <c r="C3" s="79"/>
      <c r="D3" s="79"/>
      <c r="E3" s="109" t="s">
        <v>16</v>
      </c>
      <c r="F3" s="110"/>
      <c r="G3" s="101">
        <f ca="1">TODAY()</f>
        <v>46021</v>
      </c>
    </row>
    <row r="4" spans="1:11" ht="13.95" customHeight="1" x14ac:dyDescent="0.3">
      <c r="A4" s="103" t="s">
        <v>76</v>
      </c>
      <c r="B4" s="104"/>
      <c r="C4" s="104"/>
      <c r="D4" s="105"/>
      <c r="E4" s="111"/>
      <c r="F4" s="112"/>
      <c r="G4" s="102"/>
    </row>
    <row r="5" spans="1:11" x14ac:dyDescent="0.3">
      <c r="A5" s="106"/>
      <c r="B5" s="107"/>
      <c r="C5" s="107"/>
      <c r="D5" s="108"/>
      <c r="E5" s="97" t="s">
        <v>51</v>
      </c>
      <c r="F5" s="98"/>
      <c r="G5" s="14">
        <v>9879914828</v>
      </c>
    </row>
    <row r="6" spans="1:11" x14ac:dyDescent="0.3">
      <c r="A6" s="82" t="s">
        <v>72</v>
      </c>
      <c r="B6" s="82"/>
      <c r="C6" s="82"/>
      <c r="D6" s="82"/>
      <c r="E6" s="97" t="s">
        <v>73</v>
      </c>
      <c r="F6" s="98"/>
      <c r="G6" s="14"/>
    </row>
    <row r="7" spans="1:11" x14ac:dyDescent="0.3">
      <c r="A7" s="83"/>
      <c r="B7" s="82"/>
      <c r="C7" s="82"/>
      <c r="D7" s="82"/>
      <c r="E7" s="97" t="s">
        <v>74</v>
      </c>
      <c r="F7" s="98"/>
      <c r="G7" s="14"/>
    </row>
    <row r="8" spans="1:11" ht="27.6" x14ac:dyDescent="0.3">
      <c r="A8" s="11" t="s">
        <v>17</v>
      </c>
      <c r="B8" s="84" t="s">
        <v>118</v>
      </c>
      <c r="C8" s="84"/>
      <c r="D8" s="84"/>
      <c r="E8" s="12" t="s">
        <v>18</v>
      </c>
      <c r="F8" s="122" t="s">
        <v>122</v>
      </c>
      <c r="G8" s="81"/>
    </row>
    <row r="9" spans="1:11" ht="31.95" customHeight="1" x14ac:dyDescent="0.3">
      <c r="A9" s="11" t="s">
        <v>40</v>
      </c>
      <c r="B9" s="88" t="s">
        <v>121</v>
      </c>
      <c r="C9" s="89"/>
      <c r="D9" s="90"/>
      <c r="E9" s="97"/>
      <c r="F9" s="98"/>
      <c r="G9" s="23"/>
    </row>
    <row r="10" spans="1:11" x14ac:dyDescent="0.3">
      <c r="A10" s="11" t="s">
        <v>34</v>
      </c>
      <c r="B10" s="88" t="s">
        <v>120</v>
      </c>
      <c r="C10" s="89"/>
      <c r="D10" s="90"/>
      <c r="E10" s="97" t="s">
        <v>35</v>
      </c>
      <c r="F10" s="98"/>
      <c r="G10" s="24"/>
      <c r="I10" s="27"/>
      <c r="J10" s="27"/>
      <c r="K10" s="27"/>
    </row>
    <row r="11" spans="1:11" ht="27.6" x14ac:dyDescent="0.3">
      <c r="A11" s="20" t="s">
        <v>31</v>
      </c>
      <c r="B11" s="16" t="s">
        <v>28</v>
      </c>
      <c r="C11" s="11" t="s">
        <v>29</v>
      </c>
      <c r="D11" s="11" t="s">
        <v>30</v>
      </c>
      <c r="E11" s="20" t="s">
        <v>33</v>
      </c>
      <c r="F11" s="19" t="s">
        <v>41</v>
      </c>
      <c r="G11" s="15" t="s">
        <v>32</v>
      </c>
      <c r="I11" s="27"/>
      <c r="J11" s="27"/>
      <c r="K11" s="27"/>
    </row>
    <row r="12" spans="1:11" ht="55.2" customHeight="1" x14ac:dyDescent="0.3">
      <c r="A12" s="17" t="str">
        <f>'Costing break up'!A2</f>
        <v>1</v>
      </c>
      <c r="B12" s="25" t="str">
        <f>'Costing break up'!B2</f>
        <v xml:space="preserve">Side Plate </v>
      </c>
      <c r="C12" s="11" t="str">
        <f>'Costing break up'!C2</f>
        <v>260 X 159 X 18</v>
      </c>
      <c r="D12" s="26" t="str">
        <f>IF('Costing break up'!G2&gt;0,"CNC Waterjet Cutting, ","")</f>
        <v xml:space="preserve">CNC Waterjet Cutting, </v>
      </c>
      <c r="E12" s="18">
        <f>G12/F12</f>
        <v>800</v>
      </c>
      <c r="F12" s="11">
        <v>1</v>
      </c>
      <c r="G12" s="15">
        <v>800</v>
      </c>
      <c r="I12" s="27"/>
      <c r="J12" s="27"/>
      <c r="K12" s="27"/>
    </row>
    <row r="13" spans="1:11" ht="61.95" customHeight="1" x14ac:dyDescent="0.3">
      <c r="A13" s="17" t="str">
        <f>'Costing break up'!A3</f>
        <v>2</v>
      </c>
      <c r="B13" s="25" t="str">
        <f>'Costing break up'!B3</f>
        <v>Bottom Support Plate</v>
      </c>
      <c r="C13" s="11" t="str">
        <f>'Costing break up'!C3</f>
        <v>265 X 160 X 22</v>
      </c>
      <c r="D13" s="26" t="str">
        <f>IF('Costing break up'!G3&gt;0,"CNC Laser Cutting, ","")</f>
        <v xml:space="preserve">CNC Laser Cutting, </v>
      </c>
      <c r="E13" s="18">
        <v>700</v>
      </c>
      <c r="F13" s="11">
        <f>'Costing break up'!N3</f>
        <v>6</v>
      </c>
      <c r="G13" s="15">
        <v>700</v>
      </c>
      <c r="I13" s="27"/>
      <c r="J13" s="27"/>
      <c r="K13" s="27"/>
    </row>
    <row r="14" spans="1:11" ht="14.4" customHeight="1" x14ac:dyDescent="0.3">
      <c r="A14" s="99" t="s">
        <v>19</v>
      </c>
      <c r="B14" s="99"/>
      <c r="C14" s="91" t="s">
        <v>50</v>
      </c>
      <c r="D14" s="92"/>
      <c r="E14" s="92"/>
      <c r="F14" s="93"/>
      <c r="G14" s="15">
        <f>SUM(G12:G13)</f>
        <v>1500</v>
      </c>
    </row>
    <row r="15" spans="1:11" x14ac:dyDescent="0.3">
      <c r="A15" s="85" t="s">
        <v>20</v>
      </c>
      <c r="B15" s="85"/>
      <c r="C15" s="85"/>
      <c r="D15" s="85"/>
      <c r="E15" s="94"/>
      <c r="F15" s="95"/>
      <c r="G15" s="96"/>
    </row>
    <row r="16" spans="1:11" ht="10.95" customHeight="1" x14ac:dyDescent="0.3">
      <c r="A16" s="86" t="s">
        <v>75</v>
      </c>
      <c r="B16" s="86"/>
      <c r="C16" s="86"/>
      <c r="D16" s="86"/>
      <c r="E16" s="86"/>
      <c r="F16" s="86"/>
      <c r="G16" s="86"/>
    </row>
    <row r="17" spans="1:7" ht="10.95" customHeight="1" x14ac:dyDescent="0.3">
      <c r="A17" s="86" t="s">
        <v>112</v>
      </c>
      <c r="B17" s="86"/>
      <c r="C17" s="86"/>
      <c r="D17" s="86"/>
      <c r="E17" s="86"/>
      <c r="F17" s="86"/>
      <c r="G17" s="86"/>
    </row>
    <row r="18" spans="1:7" ht="10.5" customHeight="1" x14ac:dyDescent="0.3">
      <c r="A18" s="86" t="s">
        <v>21</v>
      </c>
      <c r="B18" s="86"/>
      <c r="C18" s="86"/>
      <c r="D18" s="86"/>
      <c r="E18" s="86"/>
      <c r="F18" s="86"/>
      <c r="G18" s="86"/>
    </row>
    <row r="19" spans="1:7" ht="10.95" customHeight="1" x14ac:dyDescent="0.3">
      <c r="A19" s="86" t="s">
        <v>22</v>
      </c>
      <c r="B19" s="86"/>
      <c r="C19" s="86"/>
      <c r="D19" s="86"/>
      <c r="E19" s="86"/>
      <c r="F19" s="86"/>
      <c r="G19" s="86"/>
    </row>
    <row r="20" spans="1:7" ht="10.95" customHeight="1" x14ac:dyDescent="0.3">
      <c r="A20" s="86" t="s">
        <v>113</v>
      </c>
      <c r="B20" s="86"/>
      <c r="C20" s="86"/>
      <c r="D20" s="86"/>
      <c r="E20" s="86"/>
      <c r="F20" s="86"/>
      <c r="G20" s="86"/>
    </row>
    <row r="21" spans="1:7" ht="10.95" customHeight="1" x14ac:dyDescent="0.3">
      <c r="A21" s="86" t="s">
        <v>23</v>
      </c>
      <c r="B21" s="86"/>
      <c r="C21" s="86"/>
      <c r="D21" s="86"/>
      <c r="E21" s="86"/>
      <c r="F21" s="86"/>
      <c r="G21" s="86"/>
    </row>
    <row r="22" spans="1:7" ht="10.95" customHeight="1" x14ac:dyDescent="0.3">
      <c r="A22" s="86" t="s">
        <v>24</v>
      </c>
      <c r="B22" s="86"/>
      <c r="C22" s="86"/>
      <c r="D22" s="86"/>
      <c r="E22" s="86"/>
      <c r="F22" s="86"/>
      <c r="G22" s="86"/>
    </row>
    <row r="23" spans="1:7" ht="10.95" customHeight="1" x14ac:dyDescent="0.3">
      <c r="A23" s="100" t="s">
        <v>114</v>
      </c>
      <c r="B23" s="100"/>
      <c r="C23" s="100"/>
      <c r="D23" s="100"/>
      <c r="E23" s="100"/>
      <c r="F23" s="100"/>
      <c r="G23" s="100"/>
    </row>
    <row r="24" spans="1:7" ht="10.95" customHeight="1" x14ac:dyDescent="0.3">
      <c r="A24" s="86" t="s">
        <v>25</v>
      </c>
      <c r="B24" s="86"/>
      <c r="C24" s="86"/>
      <c r="D24" s="86"/>
      <c r="E24" s="86"/>
      <c r="F24" s="86"/>
      <c r="G24" s="86"/>
    </row>
    <row r="25" spans="1:7" ht="10.95" customHeight="1" x14ac:dyDescent="0.3">
      <c r="A25" s="86" t="s">
        <v>77</v>
      </c>
      <c r="B25" s="86"/>
      <c r="C25" s="86"/>
      <c r="D25" s="86"/>
      <c r="E25" s="86"/>
      <c r="F25" s="86"/>
      <c r="G25" s="86"/>
    </row>
    <row r="26" spans="1:7" ht="10.95" customHeight="1" x14ac:dyDescent="0.3">
      <c r="A26" s="86" t="s">
        <v>26</v>
      </c>
      <c r="B26" s="86"/>
      <c r="C26" s="86"/>
      <c r="D26" s="86"/>
      <c r="E26" s="86"/>
      <c r="F26" s="86"/>
      <c r="G26" s="86"/>
    </row>
    <row r="27" spans="1:7" ht="36" customHeight="1" x14ac:dyDescent="0.3">
      <c r="A27" s="76" t="s">
        <v>27</v>
      </c>
      <c r="B27" s="76"/>
      <c r="C27" s="76"/>
      <c r="D27" s="76"/>
      <c r="E27" s="87" t="s">
        <v>115</v>
      </c>
      <c r="F27" s="87"/>
      <c r="G27" s="87"/>
    </row>
  </sheetData>
  <mergeCells count="35">
    <mergeCell ref="A1:G1"/>
    <mergeCell ref="A2:D2"/>
    <mergeCell ref="E2:F2"/>
    <mergeCell ref="A3:D3"/>
    <mergeCell ref="E3:F4"/>
    <mergeCell ref="G3:G4"/>
    <mergeCell ref="A4:D5"/>
    <mergeCell ref="E5:F5"/>
    <mergeCell ref="A6:D6"/>
    <mergeCell ref="E6:F6"/>
    <mergeCell ref="A7:D7"/>
    <mergeCell ref="E7:F7"/>
    <mergeCell ref="B8:D8"/>
    <mergeCell ref="F8:G8"/>
    <mergeCell ref="A19:G19"/>
    <mergeCell ref="B9:D9"/>
    <mergeCell ref="E9:F9"/>
    <mergeCell ref="B10:D10"/>
    <mergeCell ref="E10:F10"/>
    <mergeCell ref="A14:B14"/>
    <mergeCell ref="C14:F14"/>
    <mergeCell ref="A15:D15"/>
    <mergeCell ref="E15:G15"/>
    <mergeCell ref="A16:G16"/>
    <mergeCell ref="A17:G17"/>
    <mergeCell ref="A18:G18"/>
    <mergeCell ref="A26:G26"/>
    <mergeCell ref="A27:D27"/>
    <mergeCell ref="E27:G27"/>
    <mergeCell ref="A20:G20"/>
    <mergeCell ref="A21:G21"/>
    <mergeCell ref="A22:G22"/>
    <mergeCell ref="A23:G23"/>
    <mergeCell ref="A24:G24"/>
    <mergeCell ref="A25:G25"/>
  </mergeCells>
  <hyperlinks>
    <hyperlink ref="A6" r:id="rId1" display="saleswest@sasaengineering.com" xr:uid="{00000000-0004-0000-0200-000000000000}"/>
  </hyperlinks>
  <pageMargins left="0.7" right="0.7" top="1.3333333333333333" bottom="0.75" header="0.3" footer="0.3"/>
  <pageSetup paperSize="9" orientation="portrait" r:id="rId2"/>
  <headerFooter>
    <oddHeader>&amp;L&amp;G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Costing break up</vt:lpstr>
      <vt:lpstr>Standard Rate - 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Atharv Dhanade</cp:lastModifiedBy>
  <cp:lastPrinted>2025-12-16T07:10:03Z</cp:lastPrinted>
  <dcterms:created xsi:type="dcterms:W3CDTF">2019-06-23T09:07:50Z</dcterms:created>
  <dcterms:modified xsi:type="dcterms:W3CDTF">2025-12-30T12:30:15Z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2022-09-19T05:12:25Z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2fdb0b4c-1797-494e-a88d-0ba1a4c0705d</vt:lpwstr>
  </property>
  <property fmtid="{D5CDD505-2E9C-101B-9397-08002B2CF9AE}" pid="7" name="MSIP_Label_defa4170-0d19-0005-0004-bc88714345d2_ActionId">
    <vt:lpwstr>502aad07-5ced-4dc8-a177-f4bbefc13dcc</vt:lpwstr>
  </property>
  <property fmtid="{D5CDD505-2E9C-101B-9397-08002B2CF9AE}" pid="8" name="MSIP_Label_defa4170-0d19-0005-0004-bc88714345d2_ContentBits">
    <vt:lpwstr>0</vt:lpwstr>
  </property>
</Properties>
</file>